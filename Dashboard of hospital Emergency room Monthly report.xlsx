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ishnu\Downloads\"/>
    </mc:Choice>
  </mc:AlternateContent>
  <xr:revisionPtr revIDLastSave="0" documentId="8_{0BBBEC36-BD27-4953-80D4-647CC960C319}" xr6:coauthVersionLast="47" xr6:coauthVersionMax="47" xr10:uidLastSave="{00000000-0000-0000-0000-000000000000}"/>
  <bookViews>
    <workbookView xWindow="28680" yWindow="-120" windowWidth="29040" windowHeight="16440" activeTab="1" xr2:uid="{DE5C5F24-D723-47E9-A69D-7AECE1993D52}"/>
  </bookViews>
  <sheets>
    <sheet name="Pivot Report" sheetId="1" r:id="rId1"/>
    <sheet name="Dashboard" sheetId="3" r:id="rId2"/>
    <sheet name="Daily ER No of patient" sheetId="4" r:id="rId3"/>
    <sheet name="Avergae wait time daily trend" sheetId="5" r:id="rId4"/>
    <sheet name="Satisfaction score daily trends" sheetId="6" r:id="rId5"/>
  </sheets>
  <definedNames>
    <definedName name="Slicer_Date__Month">#N/A</definedName>
    <definedName name="Slicer_Date__Year">#N/A</definedName>
  </definedNames>
  <calcPr calcId="191029"/>
  <pivotCaches>
    <pivotCache cacheId="2206" r:id="rId6"/>
    <pivotCache cacheId="2209" r:id="rId7"/>
    <pivotCache cacheId="2212" r:id="rId8"/>
    <pivotCache cacheId="2215" r:id="rId9"/>
    <pivotCache cacheId="2218" r:id="rId10"/>
    <pivotCache cacheId="2221" r:id="rId11"/>
    <pivotCache cacheId="2224" r:id="rId12"/>
    <pivotCache cacheId="2227" r:id="rId13"/>
    <pivotCache cacheId="2230" r:id="rId14"/>
    <pivotCache cacheId="2233" r:id="rId15"/>
    <pivotCache cacheId="2236" r:id="rId16"/>
    <pivotCache cacheId="2239" r:id="rId17"/>
    <pivotCache cacheId="2242" r:id="rId18"/>
  </pivotCaches>
  <extLst>
    <ext xmlns:x14="http://schemas.microsoft.com/office/spreadsheetml/2009/9/main" uri="{876F7934-8845-4945-9796-88D515C7AA90}">
      <x14:pivotCaches>
        <pivotCache cacheId="179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083086b-2f41-4296-9d86-2faa29151db0" name="Hospital Emergency Room Data" connection="Query - Hospital Emergency Room Data"/>
          <x15:modelTable id="Calendar_Table_4f4a076d-35d7-47d4-86c7-8d592acd2040"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52" i="1" l="1"/>
  <c r="C52" i="1"/>
  <c r="A52" i="1"/>
  <c r="B51" i="1"/>
  <c r="C51"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BD9A68-C065-46C4-9812-B0817464D33B}" name="Query - Calendar_Table" description="Connection to the 'Calendar_Table' query in the workbook." type="100" refreshedVersion="8" minRefreshableVersion="5">
    <extLst>
      <ext xmlns:x15="http://schemas.microsoft.com/office/spreadsheetml/2010/11/main" uri="{DE250136-89BD-433C-8126-D09CA5730AF9}">
        <x15:connection id="8d0354d7-0d64-49cd-90c2-61e66937ef77"/>
      </ext>
    </extLst>
  </connection>
  <connection id="2" xr16:uid="{E3B1D69F-1E1C-4E27-A602-2BE24A431CB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d5475d4-8297-43dd-bc23-a7babcbff26b"/>
      </ext>
    </extLst>
  </connection>
  <connection id="3" xr16:uid="{31993B3A-E90F-4AAC-8BB5-F6FF96409BA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<sst xmlns="http://schemas.openxmlformats.org/spreadsheetml/2006/main" count="156" uniqueCount="76">
  <si>
    <t>Count of Patient Id</t>
  </si>
  <si>
    <t>Distinct Count of Patient Id</t>
  </si>
  <si>
    <t>No. of patient</t>
  </si>
  <si>
    <t>Average of Patient Waittime</t>
  </si>
  <si>
    <t>Male</t>
  </si>
  <si>
    <t>None</t>
  </si>
  <si>
    <t>Admitted</t>
  </si>
  <si>
    <t>60-69</t>
  </si>
  <si>
    <t>Ontime</t>
  </si>
  <si>
    <t>10-19</t>
  </si>
  <si>
    <t>Delay</t>
  </si>
  <si>
    <t>70-79</t>
  </si>
  <si>
    <t>40-49</t>
  </si>
  <si>
    <t>50-59</t>
  </si>
  <si>
    <t>0-09</t>
  </si>
  <si>
    <t>20-29</t>
  </si>
  <si>
    <t>30-39</t>
  </si>
  <si>
    <t>Female</t>
  </si>
  <si>
    <t>Not Admitted</t>
  </si>
  <si>
    <t>Average of Patient Satisfaction Score</t>
  </si>
  <si>
    <t>Grand Total</t>
  </si>
  <si>
    <t>2023</t>
  </si>
  <si>
    <t>Row Labels</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</si>
  <si>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</si>
  <si>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</si>
  <si>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</si>
  <si>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</si>
  <si>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</si>
  <si>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</si>
  <si>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</si>
  <si>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</si>
  <si>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</si>
  <si>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</si>
  <si>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</si>
  <si>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</si>
  <si>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</si>
  <si>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</si>
  <si>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</si>
  <si>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</si>
  <si>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</si>
  <si>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</si>
  <si>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</si>
  <si>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</si>
  <si>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</si>
  <si>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</si>
  <si>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</si>
  <si>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</si>
  <si>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</si>
  <si>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</si>
  <si>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</si>
  <si>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</si>
  <si>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</si>
  <si>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</si>
  <si>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</si>
  <si>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 xml:space="preserve"> </t>
  </si>
  <si>
    <t>daily trends o f no of patient</t>
  </si>
  <si>
    <t>avreage wait time</t>
  </si>
  <si>
    <t>satisfaction score daily trend</t>
  </si>
  <si>
    <t>Count of Patient Admission Flag</t>
  </si>
  <si>
    <t>Count of Patient Admission Flag2</t>
  </si>
  <si>
    <t>Admission Status</t>
  </si>
  <si>
    <t>%Status</t>
  </si>
  <si>
    <t xml:space="preserve"> Patient</t>
  </si>
  <si>
    <t>Count of Age Group</t>
  </si>
  <si>
    <t>Age group wise analysis</t>
  </si>
  <si>
    <t>attended status</t>
  </si>
  <si>
    <t>Count of Patient Gender</t>
  </si>
  <si>
    <t>gender wise analysis</t>
  </si>
  <si>
    <t>Cardiology</t>
  </si>
  <si>
    <t>Gastroenterology</t>
  </si>
  <si>
    <t>General Practice</t>
  </si>
  <si>
    <t>Neurology</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</si>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</sst>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2" tint="-0.49998474074526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rgb="FF00B0F0"/>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0" fillId="0" borderId="1" xfId="0" applyBorder="1"/>
    <xf numFmtId="0" fontId="0" fillId="0" borderId="2" xfId="0" applyBorder="1"/>
    <xf numFmtId="0" fontId="0" fillId="0" borderId="3" xfId="0" applyBorder="1"/>
    <xf numFmtId="0" fontId="0" fillId="0" borderId="0" xfId="0" applyNumberFormat="1"/>
    <xf numFmtId="0" fontId="2" fillId="2" borderId="10" xfId="0" applyFont="1" applyFill="1" applyBorder="1"/>
    <xf numFmtId="0" fontId="0" fillId="0" borderId="0" xfId="0" pivotButton="1"/>
    <xf numFmtId="2" fontId="0" fillId="0" borderId="0" xfId="0" applyNumberFormat="1"/>
    <xf numFmtId="0" fontId="0" fillId="3" borderId="0" xfId="0" applyFill="1"/>
    <xf numFmtId="0" fontId="0" fillId="0" borderId="0" xfId="0" applyAlignment="1">
      <alignment horizontal="left"/>
    </xf>
    <xf numFmtId="0" fontId="0" fillId="4" borderId="0" xfId="0" applyFill="1"/>
    <xf numFmtId="10" fontId="0" fillId="0" borderId="0" xfId="0" applyNumberFormat="1"/>
    <xf numFmtId="9" fontId="0" fillId="0" borderId="0" xfId="1" applyFont="1"/>
    <xf numFmtId="0" fontId="0" fillId="5" borderId="0" xfId="0" applyFill="1"/>
    <xf numFmtId="0" fontId="3" fillId="6" borderId="0" xfId="0" applyFont="1" applyFill="1"/>
    <xf numFmtId="0" fontId="3" fillId="6" borderId="0" xfId="0" applyFont="1" applyFill="1" applyAlignment="1">
      <alignment horizontal="center"/>
    </xf>
    <xf numFmtId="0" fontId="0" fillId="5" borderId="0" xfId="0" applyFill="1" applyAlignment="1">
      <alignment horizontal="center"/>
    </xf>
    <xf numFmtId="9" fontId="0" fillId="5" borderId="0" xfId="1" applyFont="1" applyFill="1" applyAlignment="1">
      <alignment horizontal="center"/>
    </xf>
    <xf numFmtId="1" fontId="0" fillId="0" borderId="0" xfId="0" applyNumberFormat="1"/>
    <xf numFmtId="1" fontId="0" fillId="0" borderId="4"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1" fontId="0" fillId="0" borderId="8" xfId="0" applyNumberFormat="1" applyBorder="1"/>
    <xf numFmtId="1" fontId="0" fillId="0" borderId="9" xfId="0" applyNumberFormat="1" applyBorder="1"/>
  </cellXfs>
  <cellStyles count="2">
    <cellStyle name="Normal" xfId="0" builtinId="0"/>
    <cellStyle name="Percent" xfId="1" builtinId="5"/>
  </cellStyles>
  <dxfs count="134">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font>
      <border diagonalUp="0" diagonalDown="0">
        <left/>
        <right/>
        <top/>
        <bottom/>
        <vertical/>
        <horizontal/>
      </border>
    </dxf>
  </dxfs>
  <tableStyles count="1" defaultTableStyle="TableStyleMedium2" defaultPivotStyle="PivotStyleLight16">
    <tableStyle name="My style" pivot="0" table="0" count="10" xr9:uid="{A28681CC-6A9F-4788-AD57-72CDDDF0E335}">
      <tableStyleElement type="wholeTable" dxfId="133"/>
      <tableStyleElement type="headerRow" dxfId="13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Emergency room Monthly report.xlsx]Pivot Report!PivotTable7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2990B5-B30F-4A01-89BD-A63D37B5EEF1}"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84F2C4-21D2-405E-AB8A-0790A781C255}"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0.16150056632868898"/>
          <c:y val="2.7816411682892908E-2"/>
          <c:w val="0.79566879096785348"/>
          <c:h val="0.84145448439251069"/>
        </c:manualLayout>
      </c:layout>
      <c:barChart>
        <c:barDir val="bar"/>
        <c:grouping val="clustered"/>
        <c:varyColors val="0"/>
        <c:ser>
          <c:idx val="0"/>
          <c:order val="0"/>
          <c:tx>
            <c:strRef>
              <c:f>'Pivot Report'!$C$40:$C$41</c:f>
              <c:strCache>
                <c:ptCount val="1"/>
                <c:pt idx="0">
                  <c:v>Count of Patient Admission Flag</c:v>
                </c:pt>
              </c:strCache>
            </c:strRef>
          </c:tx>
          <c:spPr>
            <a:solidFill>
              <a:schemeClr val="accent1"/>
            </a:solidFill>
            <a:ln>
              <a:noFill/>
            </a:ln>
            <a:effectLst/>
          </c:spPr>
          <c:invertIfNegative val="0"/>
          <c:dLbls>
            <c:dLbl>
              <c:idx val="0"/>
              <c:tx>
                <c:rich>
                  <a:bodyPr/>
                  <a:lstStyle/>
                  <a:p>
                    <a:fld id="{C92990B5-B30F-4A01-89BD-A63D37B5EEF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2A-48BC-B964-D48000654CDC}"/>
                </c:ext>
              </c:extLst>
            </c:dLbl>
            <c:dLbl>
              <c:idx val="1"/>
              <c:tx>
                <c:rich>
                  <a:bodyPr/>
                  <a:lstStyle/>
                  <a:p>
                    <a:fld id="{9684F2C4-21D2-405E-AB8A-0790A781C25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2A-48BC-B964-D48000654CDC}"/>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Report'!$C$40:$C$41</c:f>
              <c:strCache>
                <c:ptCount val="2"/>
                <c:pt idx="0">
                  <c:v>Admitted</c:v>
                </c:pt>
                <c:pt idx="1">
                  <c:v>Not Admitted</c:v>
                </c:pt>
              </c:strCache>
            </c:strRef>
          </c:cat>
          <c:val>
            <c:numRef>
              <c:f>'Pivot Report'!$C$40:$C$41</c:f>
              <c:numCache>
                <c:formatCode>0.00</c:formatCode>
                <c:ptCount val="2"/>
                <c:pt idx="0">
                  <c:v>229</c:v>
                </c:pt>
                <c:pt idx="1">
                  <c:v>251</c:v>
                </c:pt>
              </c:numCache>
            </c:numRef>
          </c:val>
          <c:extLst>
            <c:ext xmlns:c15="http://schemas.microsoft.com/office/drawing/2012/chart" uri="{02D57815-91ED-43cb-92C2-25804820EDAC}">
              <c15:datalabelsRange>
                <c15:f>'Pivot Report'!$C$40:$C$41</c15:f>
                <c15:dlblRangeCache>
                  <c:ptCount val="2"/>
                  <c:pt idx="0">
                    <c:v>47.71%</c:v>
                  </c:pt>
                  <c:pt idx="1">
                    <c:v>52.29%</c:v>
                  </c:pt>
                </c15:dlblRangeCache>
              </c15:datalabelsRange>
            </c:ext>
            <c:ext xmlns:c16="http://schemas.microsoft.com/office/drawing/2014/chart" uri="{C3380CC4-5D6E-409C-BE32-E72D297353CC}">
              <c16:uniqueId val="{00000000-082A-48BC-B964-D48000654CDC}"/>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0.47708333333333336</c:v>
                </c:pt>
                <c:pt idx="1">
                  <c:v>0.5229166666666667</c:v>
                </c:pt>
              </c:numCache>
            </c:numRef>
          </c:val>
          <c:extLst>
            <c:ext xmlns:c16="http://schemas.microsoft.com/office/drawing/2014/chart" uri="{C3380CC4-5D6E-409C-BE32-E72D297353CC}">
              <c16:uniqueId val="{00000001-082A-48BC-B964-D48000654CDC}"/>
            </c:ext>
          </c:extLst>
        </c:ser>
        <c:dLbls>
          <c:showLegendKey val="0"/>
          <c:showVal val="0"/>
          <c:showCatName val="0"/>
          <c:showSerName val="0"/>
          <c:showPercent val="0"/>
          <c:showBubbleSize val="0"/>
        </c:dLbls>
        <c:gapWidth val="0"/>
        <c:axId val="1193733375"/>
        <c:axId val="1193728095"/>
      </c:barChart>
      <c:catAx>
        <c:axId val="1193733375"/>
        <c:scaling>
          <c:orientation val="minMax"/>
        </c:scaling>
        <c:delete val="1"/>
        <c:axPos val="l"/>
        <c:numFmt formatCode="General" sourceLinked="1"/>
        <c:majorTickMark val="none"/>
        <c:minorTickMark val="none"/>
        <c:tickLblPos val="nextTo"/>
        <c:crossAx val="1193728095"/>
        <c:crosses val="autoZero"/>
        <c:auto val="1"/>
        <c:lblAlgn val="ctr"/>
        <c:lblOffset val="100"/>
        <c:noMultiLvlLbl val="0"/>
      </c:catAx>
      <c:valAx>
        <c:axId val="1193728095"/>
        <c:scaling>
          <c:orientation val="minMax"/>
        </c:scaling>
        <c:delete val="1"/>
        <c:axPos val="b"/>
        <c:numFmt formatCode="0.00" sourceLinked="1"/>
        <c:majorTickMark val="none"/>
        <c:minorTickMark val="none"/>
        <c:tickLblPos val="nextTo"/>
        <c:crossAx val="119373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of hospital Emergency room Monthly report.xlsx]Pivot Report!PivotTable4</c:name>
    <c:fmtId val="5"/>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5305844057896"/>
          <c:y val="0.36810896560488821"/>
          <c:w val="0.79640272619227193"/>
          <c:h val="0.63189103439511185"/>
        </c:manualLayout>
      </c:layout>
      <c:areaChart>
        <c:grouping val="standard"/>
        <c:varyColors val="0"/>
        <c:ser>
          <c:idx val="0"/>
          <c:order val="0"/>
          <c:tx>
            <c:strRef>
              <c:f>'Pivot Report'!$E$4</c:f>
              <c:strCache>
                <c:ptCount val="1"/>
                <c:pt idx="0">
                  <c:v>Total</c:v>
                </c:pt>
              </c:strCache>
            </c:strRef>
          </c:tx>
          <c:spPr>
            <a:solidFill>
              <a:schemeClr val="accent1">
                <a:lumMod val="75000"/>
              </a:schemeClr>
            </a:solidFill>
            <a:ln>
              <a:noFill/>
            </a:ln>
            <a:effectLst/>
          </c:spPr>
          <c:cat>
            <c:strRef>
              <c:f>'Pivot Report'!$D$5:$D$36</c:f>
              <c:strCache>
                <c:ptCount val="31"/>
                <c:pt idx="0">
                  <c:v>9-May</c:v>
                </c:pt>
                <c:pt idx="1">
                  <c:v>8-May</c:v>
                </c:pt>
                <c:pt idx="2">
                  <c:v>7-May</c:v>
                </c:pt>
                <c:pt idx="3">
                  <c:v>6-May</c:v>
                </c:pt>
                <c:pt idx="4">
                  <c:v>5-May</c:v>
                </c:pt>
                <c:pt idx="5">
                  <c:v>4-May</c:v>
                </c:pt>
                <c:pt idx="6">
                  <c:v>3-May</c:v>
                </c:pt>
                <c:pt idx="7">
                  <c:v>31-May</c:v>
                </c:pt>
                <c:pt idx="8">
                  <c:v>30-May</c:v>
                </c:pt>
                <c:pt idx="9">
                  <c:v>2-May</c:v>
                </c:pt>
                <c:pt idx="10">
                  <c:v>29-May</c:v>
                </c:pt>
                <c:pt idx="11">
                  <c:v>28-May</c:v>
                </c:pt>
                <c:pt idx="12">
                  <c:v>27-May</c:v>
                </c:pt>
                <c:pt idx="13">
                  <c:v>26-May</c:v>
                </c:pt>
                <c:pt idx="14">
                  <c:v>25-May</c:v>
                </c:pt>
                <c:pt idx="15">
                  <c:v>24-May</c:v>
                </c:pt>
                <c:pt idx="16">
                  <c:v>23-May</c:v>
                </c:pt>
                <c:pt idx="17">
                  <c:v>22-May</c:v>
                </c:pt>
                <c:pt idx="18">
                  <c:v>21-May</c:v>
                </c:pt>
                <c:pt idx="19">
                  <c:v>20-May</c:v>
                </c:pt>
                <c:pt idx="20">
                  <c:v>1-May</c:v>
                </c:pt>
                <c:pt idx="21">
                  <c:v>19-May</c:v>
                </c:pt>
                <c:pt idx="22">
                  <c:v>18-May</c:v>
                </c:pt>
                <c:pt idx="23">
                  <c:v>17-May</c:v>
                </c:pt>
                <c:pt idx="24">
                  <c:v>16-May</c:v>
                </c:pt>
                <c:pt idx="25">
                  <c:v>15-May</c:v>
                </c:pt>
                <c:pt idx="26">
                  <c:v>14-May</c:v>
                </c:pt>
                <c:pt idx="27">
                  <c:v>13-May</c:v>
                </c:pt>
                <c:pt idx="28">
                  <c:v>12-May</c:v>
                </c:pt>
                <c:pt idx="29">
                  <c:v>11-May</c:v>
                </c:pt>
                <c:pt idx="30">
                  <c:v>10-May</c:v>
                </c:pt>
              </c:strCache>
            </c:strRef>
          </c:cat>
          <c:val>
            <c:numRef>
              <c:f>'Pivot Report'!$E$5:$E$36</c:f>
              <c:numCache>
                <c:formatCode>General</c:formatCode>
                <c:ptCount val="31"/>
                <c:pt idx="0">
                  <c:v>20</c:v>
                </c:pt>
                <c:pt idx="1">
                  <c:v>20</c:v>
                </c:pt>
                <c:pt idx="2">
                  <c:v>15</c:v>
                </c:pt>
                <c:pt idx="3">
                  <c:v>16</c:v>
                </c:pt>
                <c:pt idx="4">
                  <c:v>18</c:v>
                </c:pt>
                <c:pt idx="5">
                  <c:v>16</c:v>
                </c:pt>
                <c:pt idx="6">
                  <c:v>20</c:v>
                </c:pt>
                <c:pt idx="7">
                  <c:v>11</c:v>
                </c:pt>
                <c:pt idx="8">
                  <c:v>24</c:v>
                </c:pt>
                <c:pt idx="9">
                  <c:v>16</c:v>
                </c:pt>
                <c:pt idx="10">
                  <c:v>15</c:v>
                </c:pt>
                <c:pt idx="11">
                  <c:v>10</c:v>
                </c:pt>
                <c:pt idx="12">
                  <c:v>14</c:v>
                </c:pt>
                <c:pt idx="13">
                  <c:v>11</c:v>
                </c:pt>
                <c:pt idx="14">
                  <c:v>16</c:v>
                </c:pt>
                <c:pt idx="15">
                  <c:v>11</c:v>
                </c:pt>
                <c:pt idx="16">
                  <c:v>13</c:v>
                </c:pt>
                <c:pt idx="17">
                  <c:v>21</c:v>
                </c:pt>
                <c:pt idx="18">
                  <c:v>16</c:v>
                </c:pt>
                <c:pt idx="19">
                  <c:v>14</c:v>
                </c:pt>
                <c:pt idx="20">
                  <c:v>20</c:v>
                </c:pt>
                <c:pt idx="21">
                  <c:v>15</c:v>
                </c:pt>
                <c:pt idx="22">
                  <c:v>15</c:v>
                </c:pt>
                <c:pt idx="23">
                  <c:v>16</c:v>
                </c:pt>
                <c:pt idx="24">
                  <c:v>21</c:v>
                </c:pt>
                <c:pt idx="25">
                  <c:v>7</c:v>
                </c:pt>
                <c:pt idx="26">
                  <c:v>14</c:v>
                </c:pt>
                <c:pt idx="27">
                  <c:v>13</c:v>
                </c:pt>
                <c:pt idx="28">
                  <c:v>11</c:v>
                </c:pt>
                <c:pt idx="29">
                  <c:v>18</c:v>
                </c:pt>
                <c:pt idx="30">
                  <c:v>13</c:v>
                </c:pt>
              </c:numCache>
            </c:numRef>
          </c:val>
          <c:extLst>
            <c:ext xmlns:c16="http://schemas.microsoft.com/office/drawing/2014/chart" uri="{C3380CC4-5D6E-409C-BE32-E72D297353CC}">
              <c16:uniqueId val="{00000000-4876-402C-B873-9FE00A50552B}"/>
            </c:ext>
          </c:extLst>
        </c:ser>
        <c:dLbls>
          <c:showLegendKey val="0"/>
          <c:showVal val="0"/>
          <c:showCatName val="0"/>
          <c:showSerName val="0"/>
          <c:showPercent val="0"/>
          <c:showBubbleSize val="0"/>
        </c:dLbls>
        <c:axId val="694884495"/>
        <c:axId val="694883535"/>
      </c:areaChart>
      <c:catAx>
        <c:axId val="694884495"/>
        <c:scaling>
          <c:orientation val="minMax"/>
        </c:scaling>
        <c:delete val="1"/>
        <c:axPos val="b"/>
        <c:numFmt formatCode="General" sourceLinked="1"/>
        <c:majorTickMark val="out"/>
        <c:minorTickMark val="none"/>
        <c:tickLblPos val="nextTo"/>
        <c:crossAx val="694883535"/>
        <c:crosses val="autoZero"/>
        <c:auto val="1"/>
        <c:lblAlgn val="ctr"/>
        <c:lblOffset val="100"/>
        <c:noMultiLvlLbl val="0"/>
      </c:catAx>
      <c:valAx>
        <c:axId val="694883535"/>
        <c:scaling>
          <c:orientation val="minMax"/>
        </c:scaling>
        <c:delete val="1"/>
        <c:axPos val="l"/>
        <c:numFmt formatCode="General" sourceLinked="1"/>
        <c:majorTickMark val="none"/>
        <c:minorTickMark val="none"/>
        <c:tickLblPos val="nextTo"/>
        <c:crossAx val="69488449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of hospital Emergency room Monthly report.xlsx]Pivot Report!PivotTable5</c:name>
    <c:fmtId val="16"/>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80877316649924E-2"/>
          <c:y val="0.47589579671507498"/>
          <c:w val="0.9388379204892966"/>
          <c:h val="0.36858624343760366"/>
        </c:manualLayout>
      </c:layout>
      <c:areaChart>
        <c:grouping val="standard"/>
        <c:varyColors val="0"/>
        <c:ser>
          <c:idx val="0"/>
          <c:order val="0"/>
          <c:tx>
            <c:strRef>
              <c:f>'Pivot Report'!$I$4</c:f>
              <c:strCache>
                <c:ptCount val="1"/>
                <c:pt idx="0">
                  <c:v>Total</c:v>
                </c:pt>
              </c:strCache>
            </c:strRef>
          </c:tx>
          <c:spPr>
            <a:solidFill>
              <a:schemeClr val="accent1">
                <a:lumMod val="75000"/>
              </a:schemeClr>
            </a:solidFill>
            <a:ln>
              <a:noFill/>
            </a:ln>
            <a:effectLst/>
          </c:spPr>
          <c:cat>
            <c:strRef>
              <c:f>'Pivot Report'!$H$5:$H$36</c:f>
              <c:strCache>
                <c:ptCount val="31"/>
                <c:pt idx="0">
                  <c:v>10-May</c:v>
                </c:pt>
                <c:pt idx="1">
                  <c:v>11-May</c:v>
                </c:pt>
                <c:pt idx="2">
                  <c:v>12-May</c:v>
                </c:pt>
                <c:pt idx="3">
                  <c:v>13-May</c:v>
                </c:pt>
                <c:pt idx="4">
                  <c:v>14-May</c:v>
                </c:pt>
                <c:pt idx="5">
                  <c:v>15-May</c:v>
                </c:pt>
                <c:pt idx="6">
                  <c:v>16-May</c:v>
                </c:pt>
                <c:pt idx="7">
                  <c:v>17-May</c:v>
                </c:pt>
                <c:pt idx="8">
                  <c:v>18-May</c:v>
                </c:pt>
                <c:pt idx="9">
                  <c:v>19-May</c:v>
                </c:pt>
                <c:pt idx="10">
                  <c:v>1-May</c:v>
                </c:pt>
                <c:pt idx="11">
                  <c:v>20-May</c:v>
                </c:pt>
                <c:pt idx="12">
                  <c:v>21-May</c:v>
                </c:pt>
                <c:pt idx="13">
                  <c:v>22-May</c:v>
                </c:pt>
                <c:pt idx="14">
                  <c:v>23-May</c:v>
                </c:pt>
                <c:pt idx="15">
                  <c:v>24-May</c:v>
                </c:pt>
                <c:pt idx="16">
                  <c:v>25-May</c:v>
                </c:pt>
                <c:pt idx="17">
                  <c:v>26-May</c:v>
                </c:pt>
                <c:pt idx="18">
                  <c:v>27-May</c:v>
                </c:pt>
                <c:pt idx="19">
                  <c:v>28-May</c:v>
                </c:pt>
                <c:pt idx="20">
                  <c:v>29-May</c:v>
                </c:pt>
                <c:pt idx="21">
                  <c:v>2-May</c:v>
                </c:pt>
                <c:pt idx="22">
                  <c:v>30-May</c:v>
                </c:pt>
                <c:pt idx="23">
                  <c:v>31-May</c:v>
                </c:pt>
                <c:pt idx="24">
                  <c:v>3-May</c:v>
                </c:pt>
                <c:pt idx="25">
                  <c:v>4-May</c:v>
                </c:pt>
                <c:pt idx="26">
                  <c:v>5-May</c:v>
                </c:pt>
                <c:pt idx="27">
                  <c:v>6-May</c:v>
                </c:pt>
                <c:pt idx="28">
                  <c:v>7-May</c:v>
                </c:pt>
                <c:pt idx="29">
                  <c:v>8-May</c:v>
                </c:pt>
                <c:pt idx="30">
                  <c:v>9-May</c:v>
                </c:pt>
              </c:strCache>
            </c:strRef>
          </c:cat>
          <c:val>
            <c:numRef>
              <c:f>'Pivot Report'!$I$5:$I$36</c:f>
              <c:numCache>
                <c:formatCode>0.00</c:formatCode>
                <c:ptCount val="31"/>
                <c:pt idx="0">
                  <c:v>30.692307692307693</c:v>
                </c:pt>
                <c:pt idx="1">
                  <c:v>33.611111111111114</c:v>
                </c:pt>
                <c:pt idx="2">
                  <c:v>37.81818181818182</c:v>
                </c:pt>
                <c:pt idx="3">
                  <c:v>40</c:v>
                </c:pt>
                <c:pt idx="4">
                  <c:v>32</c:v>
                </c:pt>
                <c:pt idx="5">
                  <c:v>31.857142857142858</c:v>
                </c:pt>
                <c:pt idx="6">
                  <c:v>31.142857142857142</c:v>
                </c:pt>
                <c:pt idx="7">
                  <c:v>29.5</c:v>
                </c:pt>
                <c:pt idx="8">
                  <c:v>30.666666666666668</c:v>
                </c:pt>
                <c:pt idx="9">
                  <c:v>39.06666666666667</c:v>
                </c:pt>
                <c:pt idx="10">
                  <c:v>31.5</c:v>
                </c:pt>
                <c:pt idx="11">
                  <c:v>32.857142857142854</c:v>
                </c:pt>
                <c:pt idx="12">
                  <c:v>38.3125</c:v>
                </c:pt>
                <c:pt idx="13">
                  <c:v>35.80952380952381</c:v>
                </c:pt>
                <c:pt idx="14">
                  <c:v>33.153846153846153</c:v>
                </c:pt>
                <c:pt idx="15">
                  <c:v>39.18181818181818</c:v>
                </c:pt>
                <c:pt idx="16">
                  <c:v>36.3125</c:v>
                </c:pt>
                <c:pt idx="17">
                  <c:v>33</c:v>
                </c:pt>
                <c:pt idx="18">
                  <c:v>32.857142857142854</c:v>
                </c:pt>
                <c:pt idx="19">
                  <c:v>36.799999999999997</c:v>
                </c:pt>
                <c:pt idx="20">
                  <c:v>32.866666666666667</c:v>
                </c:pt>
                <c:pt idx="21">
                  <c:v>34.25</c:v>
                </c:pt>
                <c:pt idx="22">
                  <c:v>32.375</c:v>
                </c:pt>
                <c:pt idx="23">
                  <c:v>36</c:v>
                </c:pt>
                <c:pt idx="24">
                  <c:v>41.1</c:v>
                </c:pt>
                <c:pt idx="25">
                  <c:v>31</c:v>
                </c:pt>
                <c:pt idx="26">
                  <c:v>33.666666666666664</c:v>
                </c:pt>
                <c:pt idx="27">
                  <c:v>34.5625</c:v>
                </c:pt>
                <c:pt idx="28">
                  <c:v>34.93333333333333</c:v>
                </c:pt>
                <c:pt idx="29">
                  <c:v>36.4</c:v>
                </c:pt>
                <c:pt idx="30">
                  <c:v>35.549999999999997</c:v>
                </c:pt>
              </c:numCache>
            </c:numRef>
          </c:val>
          <c:extLst>
            <c:ext xmlns:c16="http://schemas.microsoft.com/office/drawing/2014/chart" uri="{C3380CC4-5D6E-409C-BE32-E72D297353CC}">
              <c16:uniqueId val="{00000000-D2DA-4144-A05D-3103BBCBA1D5}"/>
            </c:ext>
          </c:extLst>
        </c:ser>
        <c:dLbls>
          <c:showLegendKey val="0"/>
          <c:showVal val="0"/>
          <c:showCatName val="0"/>
          <c:showSerName val="0"/>
          <c:showPercent val="0"/>
          <c:showBubbleSize val="0"/>
        </c:dLbls>
        <c:axId val="204336143"/>
        <c:axId val="204334703"/>
      </c:areaChart>
      <c:catAx>
        <c:axId val="204336143"/>
        <c:scaling>
          <c:orientation val="minMax"/>
        </c:scaling>
        <c:delete val="1"/>
        <c:axPos val="b"/>
        <c:numFmt formatCode="General" sourceLinked="1"/>
        <c:majorTickMark val="out"/>
        <c:minorTickMark val="none"/>
        <c:tickLblPos val="nextTo"/>
        <c:crossAx val="204334703"/>
        <c:crosses val="autoZero"/>
        <c:auto val="1"/>
        <c:lblAlgn val="ctr"/>
        <c:lblOffset val="100"/>
        <c:noMultiLvlLbl val="0"/>
      </c:catAx>
      <c:valAx>
        <c:axId val="204334703"/>
        <c:scaling>
          <c:orientation val="minMax"/>
        </c:scaling>
        <c:delete val="1"/>
        <c:axPos val="l"/>
        <c:numFmt formatCode="0.00" sourceLinked="1"/>
        <c:majorTickMark val="none"/>
        <c:minorTickMark val="none"/>
        <c:tickLblPos val="nextTo"/>
        <c:crossAx val="204336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of hospital Emergency room Monthly report.xlsx]Pivot Report!PivotTable6</c:name>
    <c:fmtId val="2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17207457040546E-2"/>
          <c:y val="0.16163846092879056"/>
          <c:w val="0.91893511966209229"/>
          <c:h val="0.83836153907120947"/>
        </c:manualLayout>
      </c:layout>
      <c:areaChart>
        <c:grouping val="standard"/>
        <c:varyColors val="0"/>
        <c:ser>
          <c:idx val="0"/>
          <c:order val="0"/>
          <c:tx>
            <c:strRef>
              <c:f>'Pivot Report'!$M$4</c:f>
              <c:strCache>
                <c:ptCount val="1"/>
                <c:pt idx="0">
                  <c:v>Total</c:v>
                </c:pt>
              </c:strCache>
            </c:strRef>
          </c:tx>
          <c:spPr>
            <a:solidFill>
              <a:schemeClr val="accent1">
                <a:lumMod val="75000"/>
              </a:schemeClr>
            </a:solidFill>
            <a:ln>
              <a:noFill/>
            </a:ln>
            <a:effectLst/>
          </c:spPr>
          <c:cat>
            <c:strRef>
              <c:f>'Pivot Report'!$L$5:$L$35</c:f>
              <c:strCache>
                <c:ptCount val="30"/>
                <c:pt idx="0">
                  <c:v>10-May</c:v>
                </c:pt>
                <c:pt idx="1">
                  <c:v>11-May</c:v>
                </c:pt>
                <c:pt idx="2">
                  <c:v>12-May</c:v>
                </c:pt>
                <c:pt idx="3">
                  <c:v>13-May</c:v>
                </c:pt>
                <c:pt idx="4">
                  <c:v>14-May</c:v>
                </c:pt>
                <c:pt idx="5">
                  <c:v>16-May</c:v>
                </c:pt>
                <c:pt idx="6">
                  <c:v>17-May</c:v>
                </c:pt>
                <c:pt idx="7">
                  <c:v>18-May</c:v>
                </c:pt>
                <c:pt idx="8">
                  <c:v>19-May</c:v>
                </c:pt>
                <c:pt idx="9">
                  <c:v>1-May</c:v>
                </c:pt>
                <c:pt idx="10">
                  <c:v>20-May</c:v>
                </c:pt>
                <c:pt idx="11">
                  <c:v>21-May</c:v>
                </c:pt>
                <c:pt idx="12">
                  <c:v>22-May</c:v>
                </c:pt>
                <c:pt idx="13">
                  <c:v>23-May</c:v>
                </c:pt>
                <c:pt idx="14">
                  <c:v>24-May</c:v>
                </c:pt>
                <c:pt idx="15">
                  <c:v>25-May</c:v>
                </c:pt>
                <c:pt idx="16">
                  <c:v>26-May</c:v>
                </c:pt>
                <c:pt idx="17">
                  <c:v>27-May</c:v>
                </c:pt>
                <c:pt idx="18">
                  <c:v>28-May</c:v>
                </c:pt>
                <c:pt idx="19">
                  <c:v>29-May</c:v>
                </c:pt>
                <c:pt idx="20">
                  <c:v>2-May</c:v>
                </c:pt>
                <c:pt idx="21">
                  <c:v>30-May</c:v>
                </c:pt>
                <c:pt idx="22">
                  <c:v>31-May</c:v>
                </c:pt>
                <c:pt idx="23">
                  <c:v>3-May</c:v>
                </c:pt>
                <c:pt idx="24">
                  <c:v>4-May</c:v>
                </c:pt>
                <c:pt idx="25">
                  <c:v>5-May</c:v>
                </c:pt>
                <c:pt idx="26">
                  <c:v>6-May</c:v>
                </c:pt>
                <c:pt idx="27">
                  <c:v>7-May</c:v>
                </c:pt>
                <c:pt idx="28">
                  <c:v>8-May</c:v>
                </c:pt>
                <c:pt idx="29">
                  <c:v>9-May</c:v>
                </c:pt>
              </c:strCache>
            </c:strRef>
          </c:cat>
          <c:val>
            <c:numRef>
              <c:f>'Pivot Report'!$M$5:$M$35</c:f>
              <c:numCache>
                <c:formatCode>0.00</c:formatCode>
                <c:ptCount val="30"/>
                <c:pt idx="0">
                  <c:v>5.333333333333333</c:v>
                </c:pt>
                <c:pt idx="1">
                  <c:v>4.4000000000000004</c:v>
                </c:pt>
                <c:pt idx="2">
                  <c:v>3.25</c:v>
                </c:pt>
                <c:pt idx="3">
                  <c:v>6</c:v>
                </c:pt>
                <c:pt idx="4">
                  <c:v>3.3333333333333335</c:v>
                </c:pt>
                <c:pt idx="5">
                  <c:v>6.7</c:v>
                </c:pt>
                <c:pt idx="6">
                  <c:v>7.75</c:v>
                </c:pt>
                <c:pt idx="7">
                  <c:v>5.5</c:v>
                </c:pt>
                <c:pt idx="8">
                  <c:v>4.5</c:v>
                </c:pt>
                <c:pt idx="9">
                  <c:v>5.5</c:v>
                </c:pt>
                <c:pt idx="10">
                  <c:v>6</c:v>
                </c:pt>
                <c:pt idx="11">
                  <c:v>5.75</c:v>
                </c:pt>
                <c:pt idx="12">
                  <c:v>3.1428571428571428</c:v>
                </c:pt>
                <c:pt idx="13">
                  <c:v>4</c:v>
                </c:pt>
                <c:pt idx="14">
                  <c:v>6.5</c:v>
                </c:pt>
                <c:pt idx="15">
                  <c:v>4</c:v>
                </c:pt>
                <c:pt idx="16">
                  <c:v>7.333333333333333</c:v>
                </c:pt>
                <c:pt idx="17">
                  <c:v>5.333333333333333</c:v>
                </c:pt>
                <c:pt idx="18">
                  <c:v>4.75</c:v>
                </c:pt>
                <c:pt idx="19">
                  <c:v>4</c:v>
                </c:pt>
                <c:pt idx="20">
                  <c:v>3.3333333333333335</c:v>
                </c:pt>
                <c:pt idx="21">
                  <c:v>4</c:v>
                </c:pt>
                <c:pt idx="22">
                  <c:v>8.3333333333333339</c:v>
                </c:pt>
                <c:pt idx="23">
                  <c:v>6</c:v>
                </c:pt>
                <c:pt idx="24">
                  <c:v>4.8</c:v>
                </c:pt>
                <c:pt idx="25">
                  <c:v>5.5</c:v>
                </c:pt>
                <c:pt idx="26">
                  <c:v>5.25</c:v>
                </c:pt>
                <c:pt idx="27">
                  <c:v>4.8</c:v>
                </c:pt>
                <c:pt idx="28">
                  <c:v>4.5</c:v>
                </c:pt>
                <c:pt idx="29">
                  <c:v>5</c:v>
                </c:pt>
              </c:numCache>
            </c:numRef>
          </c:val>
          <c:extLst>
            <c:ext xmlns:c16="http://schemas.microsoft.com/office/drawing/2014/chart" uri="{C3380CC4-5D6E-409C-BE32-E72D297353CC}">
              <c16:uniqueId val="{00000000-C3A5-48CE-AE98-8251FEAE0B1C}"/>
            </c:ext>
          </c:extLst>
        </c:ser>
        <c:dLbls>
          <c:showLegendKey val="0"/>
          <c:showVal val="0"/>
          <c:showCatName val="0"/>
          <c:showSerName val="0"/>
          <c:showPercent val="0"/>
          <c:showBubbleSize val="0"/>
        </c:dLbls>
        <c:axId val="1107211423"/>
        <c:axId val="1107205183"/>
      </c:areaChart>
      <c:catAx>
        <c:axId val="1107211423"/>
        <c:scaling>
          <c:orientation val="minMax"/>
        </c:scaling>
        <c:delete val="1"/>
        <c:axPos val="b"/>
        <c:numFmt formatCode="General" sourceLinked="1"/>
        <c:majorTickMark val="out"/>
        <c:minorTickMark val="none"/>
        <c:tickLblPos val="nextTo"/>
        <c:crossAx val="1107205183"/>
        <c:crosses val="autoZero"/>
        <c:auto val="1"/>
        <c:lblAlgn val="ctr"/>
        <c:lblOffset val="100"/>
        <c:noMultiLvlLbl val="0"/>
      </c:catAx>
      <c:valAx>
        <c:axId val="1107205183"/>
        <c:scaling>
          <c:orientation val="minMax"/>
        </c:scaling>
        <c:delete val="1"/>
        <c:axPos val="l"/>
        <c:numFmt formatCode="0.00" sourceLinked="1"/>
        <c:majorTickMark val="none"/>
        <c:minorTickMark val="none"/>
        <c:tickLblPos val="nextTo"/>
        <c:crossAx val="110721142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Emergency room Monthly report.xlsx]Pivot Report!PivotTable8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43253041221005E-2"/>
          <c:y val="0.19385132595451743"/>
          <c:w val="0.90551349391755798"/>
          <c:h val="0.58566377861262742"/>
        </c:manualLayout>
      </c:layout>
      <c:barChart>
        <c:barDir val="col"/>
        <c:grouping val="clustered"/>
        <c:varyColors val="0"/>
        <c:ser>
          <c:idx val="0"/>
          <c:order val="0"/>
          <c:tx>
            <c:strRef>
              <c:f>'Pivot Report'!$B$57</c:f>
              <c:strCache>
                <c:ptCount val="1"/>
                <c:pt idx="0">
                  <c:v>Total</c:v>
                </c:pt>
              </c:strCache>
            </c:strRef>
          </c:tx>
          <c:spPr>
            <a:solidFill>
              <a:schemeClr val="accent1"/>
            </a:solidFill>
            <a:ln>
              <a:noFill/>
            </a:ln>
            <a:effectLst/>
          </c:spPr>
          <c:invertIfNegative val="0"/>
          <c:cat>
            <c:strRef>
              <c:f>'Pivot Report'!$A$58:$A$66</c:f>
              <c:strCache>
                <c:ptCount val="8"/>
                <c:pt idx="0">
                  <c:v>0-09</c:v>
                </c:pt>
                <c:pt idx="1">
                  <c:v>10-19</c:v>
                </c:pt>
                <c:pt idx="2">
                  <c:v>20-29</c:v>
                </c:pt>
                <c:pt idx="3">
                  <c:v>30-39</c:v>
                </c:pt>
                <c:pt idx="4">
                  <c:v>40-49</c:v>
                </c:pt>
                <c:pt idx="5">
                  <c:v>50-59</c:v>
                </c:pt>
                <c:pt idx="6">
                  <c:v>60-69</c:v>
                </c:pt>
                <c:pt idx="7">
                  <c:v>70-79</c:v>
                </c:pt>
              </c:strCache>
            </c:strRef>
          </c:cat>
          <c:val>
            <c:numRef>
              <c:f>'Pivot Report'!$B$58:$B$66</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0-AB92-43BD-B21F-BF45BEF1C905}"/>
            </c:ext>
          </c:extLst>
        </c:ser>
        <c:dLbls>
          <c:showLegendKey val="0"/>
          <c:showVal val="0"/>
          <c:showCatName val="0"/>
          <c:showSerName val="0"/>
          <c:showPercent val="0"/>
          <c:showBubbleSize val="0"/>
        </c:dLbls>
        <c:gapWidth val="70"/>
        <c:overlap val="-27"/>
        <c:axId val="48912592"/>
        <c:axId val="773225775"/>
      </c:barChart>
      <c:catAx>
        <c:axId val="4891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25775"/>
        <c:crosses val="autoZero"/>
        <c:auto val="1"/>
        <c:lblAlgn val="ctr"/>
        <c:lblOffset val="100"/>
        <c:noMultiLvlLbl val="0"/>
      </c:catAx>
      <c:valAx>
        <c:axId val="773225775"/>
        <c:scaling>
          <c:orientation val="minMax"/>
        </c:scaling>
        <c:delete val="1"/>
        <c:axPos val="l"/>
        <c:numFmt formatCode="0" sourceLinked="1"/>
        <c:majorTickMark val="none"/>
        <c:minorTickMark val="none"/>
        <c:tickLblPos val="nextTo"/>
        <c:crossAx val="4891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Emergency room Monthly report.xlsx]Pivot Report!PivotTable10</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'Pivot Report'!$B$69</c:f>
              <c:strCache>
                <c:ptCount val="1"/>
                <c:pt idx="0">
                  <c:v>Total</c:v>
                </c:pt>
              </c:strCache>
            </c:strRef>
          </c:tx>
          <c:dPt>
            <c:idx val="0"/>
            <c:bubble3D val="0"/>
            <c:explosion val="5"/>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DEE-4BCE-87E2-B5B67F5B04C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DEE-4BCE-87E2-B5B67F5B04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Delay</c:v>
                </c:pt>
                <c:pt idx="1">
                  <c:v>Ontime</c:v>
                </c:pt>
              </c:strCache>
            </c:strRef>
          </c:cat>
          <c:val>
            <c:numRef>
              <c:f>'Pivot Report'!$B$70:$B$72</c:f>
              <c:numCache>
                <c:formatCode>0</c:formatCode>
                <c:ptCount val="2"/>
                <c:pt idx="0">
                  <c:v>267</c:v>
                </c:pt>
                <c:pt idx="1">
                  <c:v>213</c:v>
                </c:pt>
              </c:numCache>
            </c:numRef>
          </c:val>
          <c:extLst>
            <c:ext xmlns:c16="http://schemas.microsoft.com/office/drawing/2014/chart" uri="{C3380CC4-5D6E-409C-BE32-E72D297353CC}">
              <c16:uniqueId val="{00000004-3DEE-4BCE-87E2-B5B67F5B04C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0"/>
          <c:w val="0.74911663765881054"/>
          <c:h val="0.23080054449431814"/>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Emergency room Monthly report.xlsx]Pivot Report!PivotTable11</c:name>
    <c:fmtId val="2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Report'!$H$69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925-4A82-941C-4D40E6AD876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925-4A82-941C-4D40E6AD87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Report'!$G$70:$G$72</c:f>
              <c:strCache>
                <c:ptCount val="2"/>
                <c:pt idx="0">
                  <c:v>Female</c:v>
                </c:pt>
                <c:pt idx="1">
                  <c:v>Male</c:v>
                </c:pt>
              </c:strCache>
            </c:strRef>
          </c:cat>
          <c:val>
            <c:numRef>
              <c:f>'Pivot Report'!$H$70:$H$72</c:f>
              <c:numCache>
                <c:formatCode>0</c:formatCode>
                <c:ptCount val="2"/>
                <c:pt idx="0">
                  <c:v>261</c:v>
                </c:pt>
                <c:pt idx="1">
                  <c:v>219</c:v>
                </c:pt>
              </c:numCache>
            </c:numRef>
          </c:val>
          <c:extLst>
            <c:ext xmlns:c16="http://schemas.microsoft.com/office/drawing/2014/chart" uri="{C3380CC4-5D6E-409C-BE32-E72D297353CC}">
              <c16:uniqueId val="{00000004-C925-4A82-941C-4D40E6AD8762}"/>
            </c:ext>
          </c:extLst>
        </c:ser>
        <c:dLbls>
          <c:showLegendKey val="0"/>
          <c:showVal val="0"/>
          <c:showCatName val="0"/>
          <c:showSerName val="0"/>
          <c:showPercent val="1"/>
          <c:showBubbleSize val="0"/>
          <c:showLeaderLines val="1"/>
        </c:dLbls>
        <c:firstSliceAng val="333"/>
        <c:holeSize val="41"/>
      </c:doughnutChart>
      <c:spPr>
        <a:noFill/>
        <a:ln>
          <a:noFill/>
        </a:ln>
        <a:effectLst/>
      </c:spPr>
    </c:plotArea>
    <c:legend>
      <c:legendPos val="r"/>
      <c:layout>
        <c:manualLayout>
          <c:xMode val="edge"/>
          <c:yMode val="edge"/>
          <c:x val="0.25959273840769909"/>
          <c:y val="2.3091276203400214E-4"/>
          <c:w val="0.33227121609798776"/>
          <c:h val="0.156359676722133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Emergency room Monthly report.xlsx]Pivot Report!PivotTable13</c:name>
    <c:fmtId val="3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16853040164109"/>
          <c:y val="6.0232782241461454E-2"/>
          <c:w val="0.62822487100515978"/>
          <c:h val="0.87953443551707711"/>
        </c:manualLayout>
      </c:layout>
      <c:barChart>
        <c:barDir val="bar"/>
        <c:grouping val="clustered"/>
        <c:varyColors val="0"/>
        <c:ser>
          <c:idx val="0"/>
          <c:order val="0"/>
          <c:tx>
            <c:strRef>
              <c:f>'Pivot Report'!$H$77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Report'!$G$78:$G$86</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Report'!$H$78:$H$86</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0-94AC-425F-A853-5299F7D7C45E}"/>
            </c:ext>
          </c:extLst>
        </c:ser>
        <c:dLbls>
          <c:showLegendKey val="0"/>
          <c:showVal val="0"/>
          <c:showCatName val="0"/>
          <c:showSerName val="0"/>
          <c:showPercent val="0"/>
          <c:showBubbleSize val="0"/>
        </c:dLbls>
        <c:gapWidth val="115"/>
        <c:overlap val="-20"/>
        <c:axId val="1102925215"/>
        <c:axId val="1265027007"/>
      </c:barChart>
      <c:catAx>
        <c:axId val="11029252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027007"/>
        <c:crosses val="autoZero"/>
        <c:auto val="1"/>
        <c:lblAlgn val="ctr"/>
        <c:lblOffset val="100"/>
        <c:noMultiLvlLbl val="0"/>
      </c:catAx>
      <c:valAx>
        <c:axId val="1265027007"/>
        <c:scaling>
          <c:orientation val="minMax"/>
        </c:scaling>
        <c:delete val="1"/>
        <c:axPos val="b"/>
        <c:numFmt formatCode="0" sourceLinked="1"/>
        <c:majorTickMark val="none"/>
        <c:minorTickMark val="none"/>
        <c:tickLblPos val="nextTo"/>
        <c:crossAx val="1102925215"/>
        <c:crosses val="autoZero"/>
        <c:crossBetween val="between"/>
      </c:valAx>
      <c:spPr>
        <a:solidFill>
          <a:schemeClr val="accent1">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Emergency room Monthly report.xlsx]Pivot Report!PivotTable4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053603908437354E-2"/>
          <c:y val="4.1462450077136406E-2"/>
          <c:w val="0.93468465109308174"/>
          <c:h val="0.84488656828433051"/>
        </c:manualLayout>
      </c:layout>
      <c:areaChart>
        <c:grouping val="standard"/>
        <c:varyColors val="0"/>
        <c:ser>
          <c:idx val="0"/>
          <c:order val="0"/>
          <c:tx>
            <c:strRef>
              <c:f>'Pivot Report'!$E$4</c:f>
              <c:strCache>
                <c:ptCount val="1"/>
                <c:pt idx="0">
                  <c:v>Total</c:v>
                </c:pt>
              </c:strCache>
            </c:strRef>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Report'!$D$5:$D$36</c:f>
              <c:strCache>
                <c:ptCount val="31"/>
                <c:pt idx="0">
                  <c:v>9-May</c:v>
                </c:pt>
                <c:pt idx="1">
                  <c:v>8-May</c:v>
                </c:pt>
                <c:pt idx="2">
                  <c:v>7-May</c:v>
                </c:pt>
                <c:pt idx="3">
                  <c:v>6-May</c:v>
                </c:pt>
                <c:pt idx="4">
                  <c:v>5-May</c:v>
                </c:pt>
                <c:pt idx="5">
                  <c:v>4-May</c:v>
                </c:pt>
                <c:pt idx="6">
                  <c:v>3-May</c:v>
                </c:pt>
                <c:pt idx="7">
                  <c:v>31-May</c:v>
                </c:pt>
                <c:pt idx="8">
                  <c:v>30-May</c:v>
                </c:pt>
                <c:pt idx="9">
                  <c:v>2-May</c:v>
                </c:pt>
                <c:pt idx="10">
                  <c:v>29-May</c:v>
                </c:pt>
                <c:pt idx="11">
                  <c:v>28-May</c:v>
                </c:pt>
                <c:pt idx="12">
                  <c:v>27-May</c:v>
                </c:pt>
                <c:pt idx="13">
                  <c:v>26-May</c:v>
                </c:pt>
                <c:pt idx="14">
                  <c:v>25-May</c:v>
                </c:pt>
                <c:pt idx="15">
                  <c:v>24-May</c:v>
                </c:pt>
                <c:pt idx="16">
                  <c:v>23-May</c:v>
                </c:pt>
                <c:pt idx="17">
                  <c:v>22-May</c:v>
                </c:pt>
                <c:pt idx="18">
                  <c:v>21-May</c:v>
                </c:pt>
                <c:pt idx="19">
                  <c:v>20-May</c:v>
                </c:pt>
                <c:pt idx="20">
                  <c:v>1-May</c:v>
                </c:pt>
                <c:pt idx="21">
                  <c:v>19-May</c:v>
                </c:pt>
                <c:pt idx="22">
                  <c:v>18-May</c:v>
                </c:pt>
                <c:pt idx="23">
                  <c:v>17-May</c:v>
                </c:pt>
                <c:pt idx="24">
                  <c:v>16-May</c:v>
                </c:pt>
                <c:pt idx="25">
                  <c:v>15-May</c:v>
                </c:pt>
                <c:pt idx="26">
                  <c:v>14-May</c:v>
                </c:pt>
                <c:pt idx="27">
                  <c:v>13-May</c:v>
                </c:pt>
                <c:pt idx="28">
                  <c:v>12-May</c:v>
                </c:pt>
                <c:pt idx="29">
                  <c:v>11-May</c:v>
                </c:pt>
                <c:pt idx="30">
                  <c:v>10-May</c:v>
                </c:pt>
              </c:strCache>
            </c:strRef>
          </c:cat>
          <c:val>
            <c:numRef>
              <c:f>'Pivot Report'!$E$5:$E$36</c:f>
              <c:numCache>
                <c:formatCode>General</c:formatCode>
                <c:ptCount val="31"/>
                <c:pt idx="0">
                  <c:v>20</c:v>
                </c:pt>
                <c:pt idx="1">
                  <c:v>20</c:v>
                </c:pt>
                <c:pt idx="2">
                  <c:v>15</c:v>
                </c:pt>
                <c:pt idx="3">
                  <c:v>16</c:v>
                </c:pt>
                <c:pt idx="4">
                  <c:v>18</c:v>
                </c:pt>
                <c:pt idx="5">
                  <c:v>16</c:v>
                </c:pt>
                <c:pt idx="6">
                  <c:v>20</c:v>
                </c:pt>
                <c:pt idx="7">
                  <c:v>11</c:v>
                </c:pt>
                <c:pt idx="8">
                  <c:v>24</c:v>
                </c:pt>
                <c:pt idx="9">
                  <c:v>16</c:v>
                </c:pt>
                <c:pt idx="10">
                  <c:v>15</c:v>
                </c:pt>
                <c:pt idx="11">
                  <c:v>10</c:v>
                </c:pt>
                <c:pt idx="12">
                  <c:v>14</c:v>
                </c:pt>
                <c:pt idx="13">
                  <c:v>11</c:v>
                </c:pt>
                <c:pt idx="14">
                  <c:v>16</c:v>
                </c:pt>
                <c:pt idx="15">
                  <c:v>11</c:v>
                </c:pt>
                <c:pt idx="16">
                  <c:v>13</c:v>
                </c:pt>
                <c:pt idx="17">
                  <c:v>21</c:v>
                </c:pt>
                <c:pt idx="18">
                  <c:v>16</c:v>
                </c:pt>
                <c:pt idx="19">
                  <c:v>14</c:v>
                </c:pt>
                <c:pt idx="20">
                  <c:v>20</c:v>
                </c:pt>
                <c:pt idx="21">
                  <c:v>15</c:v>
                </c:pt>
                <c:pt idx="22">
                  <c:v>15</c:v>
                </c:pt>
                <c:pt idx="23">
                  <c:v>16</c:v>
                </c:pt>
                <c:pt idx="24">
                  <c:v>21</c:v>
                </c:pt>
                <c:pt idx="25">
                  <c:v>7</c:v>
                </c:pt>
                <c:pt idx="26">
                  <c:v>14</c:v>
                </c:pt>
                <c:pt idx="27">
                  <c:v>13</c:v>
                </c:pt>
                <c:pt idx="28">
                  <c:v>11</c:v>
                </c:pt>
                <c:pt idx="29">
                  <c:v>18</c:v>
                </c:pt>
                <c:pt idx="30">
                  <c:v>13</c:v>
                </c:pt>
              </c:numCache>
            </c:numRef>
          </c:val>
          <c:extLst>
            <c:ext xmlns:c16="http://schemas.microsoft.com/office/drawing/2014/chart" uri="{C3380CC4-5D6E-409C-BE32-E72D297353CC}">
              <c16:uniqueId val="{00000000-D4EE-4FB1-AE50-6D35F43F2929}"/>
            </c:ext>
          </c:extLst>
        </c:ser>
        <c:dLbls>
          <c:showLegendKey val="0"/>
          <c:showVal val="1"/>
          <c:showCatName val="0"/>
          <c:showSerName val="0"/>
          <c:showPercent val="0"/>
          <c:showBubbleSize val="0"/>
        </c:dLbls>
        <c:axId val="694884495"/>
        <c:axId val="694883535"/>
      </c:areaChart>
      <c:catAx>
        <c:axId val="6948844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4883535"/>
        <c:crosses val="autoZero"/>
        <c:auto val="1"/>
        <c:lblAlgn val="ctr"/>
        <c:lblOffset val="100"/>
        <c:noMultiLvlLbl val="0"/>
      </c:catAx>
      <c:valAx>
        <c:axId val="6948835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crossAx val="694884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Emergency room Monthly report.xlsx]Pivot Report!PivotTable5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80836232580223E-2"/>
          <c:y val="0.27660390193137413"/>
          <c:w val="0.9388379204892966"/>
          <c:h val="0.57844656715466869"/>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10-May</c:v>
                </c:pt>
                <c:pt idx="1">
                  <c:v>11-May</c:v>
                </c:pt>
                <c:pt idx="2">
                  <c:v>12-May</c:v>
                </c:pt>
                <c:pt idx="3">
                  <c:v>13-May</c:v>
                </c:pt>
                <c:pt idx="4">
                  <c:v>14-May</c:v>
                </c:pt>
                <c:pt idx="5">
                  <c:v>15-May</c:v>
                </c:pt>
                <c:pt idx="6">
                  <c:v>16-May</c:v>
                </c:pt>
                <c:pt idx="7">
                  <c:v>17-May</c:v>
                </c:pt>
                <c:pt idx="8">
                  <c:v>18-May</c:v>
                </c:pt>
                <c:pt idx="9">
                  <c:v>19-May</c:v>
                </c:pt>
                <c:pt idx="10">
                  <c:v>1-May</c:v>
                </c:pt>
                <c:pt idx="11">
                  <c:v>20-May</c:v>
                </c:pt>
                <c:pt idx="12">
                  <c:v>21-May</c:v>
                </c:pt>
                <c:pt idx="13">
                  <c:v>22-May</c:v>
                </c:pt>
                <c:pt idx="14">
                  <c:v>23-May</c:v>
                </c:pt>
                <c:pt idx="15">
                  <c:v>24-May</c:v>
                </c:pt>
                <c:pt idx="16">
                  <c:v>25-May</c:v>
                </c:pt>
                <c:pt idx="17">
                  <c:v>26-May</c:v>
                </c:pt>
                <c:pt idx="18">
                  <c:v>27-May</c:v>
                </c:pt>
                <c:pt idx="19">
                  <c:v>28-May</c:v>
                </c:pt>
                <c:pt idx="20">
                  <c:v>29-May</c:v>
                </c:pt>
                <c:pt idx="21">
                  <c:v>2-May</c:v>
                </c:pt>
                <c:pt idx="22">
                  <c:v>30-May</c:v>
                </c:pt>
                <c:pt idx="23">
                  <c:v>31-May</c:v>
                </c:pt>
                <c:pt idx="24">
                  <c:v>3-May</c:v>
                </c:pt>
                <c:pt idx="25">
                  <c:v>4-May</c:v>
                </c:pt>
                <c:pt idx="26">
                  <c:v>5-May</c:v>
                </c:pt>
                <c:pt idx="27">
                  <c:v>6-May</c:v>
                </c:pt>
                <c:pt idx="28">
                  <c:v>7-May</c:v>
                </c:pt>
                <c:pt idx="29">
                  <c:v>8-May</c:v>
                </c:pt>
                <c:pt idx="30">
                  <c:v>9-May</c:v>
                </c:pt>
              </c:strCache>
            </c:strRef>
          </c:cat>
          <c:val>
            <c:numRef>
              <c:f>'Pivot Report'!$I$5:$I$36</c:f>
              <c:numCache>
                <c:formatCode>0.00</c:formatCode>
                <c:ptCount val="31"/>
                <c:pt idx="0">
                  <c:v>30.692307692307693</c:v>
                </c:pt>
                <c:pt idx="1">
                  <c:v>33.611111111111114</c:v>
                </c:pt>
                <c:pt idx="2">
                  <c:v>37.81818181818182</c:v>
                </c:pt>
                <c:pt idx="3">
                  <c:v>40</c:v>
                </c:pt>
                <c:pt idx="4">
                  <c:v>32</c:v>
                </c:pt>
                <c:pt idx="5">
                  <c:v>31.857142857142858</c:v>
                </c:pt>
                <c:pt idx="6">
                  <c:v>31.142857142857142</c:v>
                </c:pt>
                <c:pt idx="7">
                  <c:v>29.5</c:v>
                </c:pt>
                <c:pt idx="8">
                  <c:v>30.666666666666668</c:v>
                </c:pt>
                <c:pt idx="9">
                  <c:v>39.06666666666667</c:v>
                </c:pt>
                <c:pt idx="10">
                  <c:v>31.5</c:v>
                </c:pt>
                <c:pt idx="11">
                  <c:v>32.857142857142854</c:v>
                </c:pt>
                <c:pt idx="12">
                  <c:v>38.3125</c:v>
                </c:pt>
                <c:pt idx="13">
                  <c:v>35.80952380952381</c:v>
                </c:pt>
                <c:pt idx="14">
                  <c:v>33.153846153846153</c:v>
                </c:pt>
                <c:pt idx="15">
                  <c:v>39.18181818181818</c:v>
                </c:pt>
                <c:pt idx="16">
                  <c:v>36.3125</c:v>
                </c:pt>
                <c:pt idx="17">
                  <c:v>33</c:v>
                </c:pt>
                <c:pt idx="18">
                  <c:v>32.857142857142854</c:v>
                </c:pt>
                <c:pt idx="19">
                  <c:v>36.799999999999997</c:v>
                </c:pt>
                <c:pt idx="20">
                  <c:v>32.866666666666667</c:v>
                </c:pt>
                <c:pt idx="21">
                  <c:v>34.25</c:v>
                </c:pt>
                <c:pt idx="22">
                  <c:v>32.375</c:v>
                </c:pt>
                <c:pt idx="23">
                  <c:v>36</c:v>
                </c:pt>
                <c:pt idx="24">
                  <c:v>41.1</c:v>
                </c:pt>
                <c:pt idx="25">
                  <c:v>31</c:v>
                </c:pt>
                <c:pt idx="26">
                  <c:v>33.666666666666664</c:v>
                </c:pt>
                <c:pt idx="27">
                  <c:v>34.5625</c:v>
                </c:pt>
                <c:pt idx="28">
                  <c:v>34.93333333333333</c:v>
                </c:pt>
                <c:pt idx="29">
                  <c:v>36.4</c:v>
                </c:pt>
                <c:pt idx="30">
                  <c:v>35.549999999999997</c:v>
                </c:pt>
              </c:numCache>
            </c:numRef>
          </c:val>
          <c:extLst>
            <c:ext xmlns:c16="http://schemas.microsoft.com/office/drawing/2014/chart" uri="{C3380CC4-5D6E-409C-BE32-E72D297353CC}">
              <c16:uniqueId val="{00000000-4A00-40E3-82C9-7F0C9552E8A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4336143"/>
        <c:axId val="204334703"/>
      </c:areaChart>
      <c:catAx>
        <c:axId val="2043361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crossAx val="204334703"/>
        <c:crosses val="autoZero"/>
        <c:auto val="1"/>
        <c:lblAlgn val="ctr"/>
        <c:lblOffset val="100"/>
        <c:noMultiLvlLbl val="0"/>
      </c:catAx>
      <c:valAx>
        <c:axId val="204334703"/>
        <c:scaling>
          <c:orientation val="minMax"/>
        </c:scaling>
        <c:delete val="1"/>
        <c:axPos val="l"/>
        <c:numFmt formatCode="0.00" sourceLinked="1"/>
        <c:majorTickMark val="out"/>
        <c:minorTickMark val="none"/>
        <c:tickLblPos val="nextTo"/>
        <c:crossAx val="204336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Emergency room Monthly report.xlsx]Pivot Report!PivotTable6</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17207457040546E-2"/>
          <c:y val="0.16163846092879056"/>
          <c:w val="0.91893511966209229"/>
          <c:h val="0.72210101527923909"/>
        </c:manualLayout>
      </c:layout>
      <c:areaChart>
        <c:grouping val="standard"/>
        <c:varyColors val="0"/>
        <c:ser>
          <c:idx val="0"/>
          <c:order val="0"/>
          <c:tx>
            <c:strRef>
              <c:f>'Pivot Report'!$M$4</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Report'!$L$5:$L$35</c:f>
              <c:strCache>
                <c:ptCount val="30"/>
                <c:pt idx="0">
                  <c:v>10-May</c:v>
                </c:pt>
                <c:pt idx="1">
                  <c:v>11-May</c:v>
                </c:pt>
                <c:pt idx="2">
                  <c:v>12-May</c:v>
                </c:pt>
                <c:pt idx="3">
                  <c:v>13-May</c:v>
                </c:pt>
                <c:pt idx="4">
                  <c:v>14-May</c:v>
                </c:pt>
                <c:pt idx="5">
                  <c:v>16-May</c:v>
                </c:pt>
                <c:pt idx="6">
                  <c:v>17-May</c:v>
                </c:pt>
                <c:pt idx="7">
                  <c:v>18-May</c:v>
                </c:pt>
                <c:pt idx="8">
                  <c:v>19-May</c:v>
                </c:pt>
                <c:pt idx="9">
                  <c:v>1-May</c:v>
                </c:pt>
                <c:pt idx="10">
                  <c:v>20-May</c:v>
                </c:pt>
                <c:pt idx="11">
                  <c:v>21-May</c:v>
                </c:pt>
                <c:pt idx="12">
                  <c:v>22-May</c:v>
                </c:pt>
                <c:pt idx="13">
                  <c:v>23-May</c:v>
                </c:pt>
                <c:pt idx="14">
                  <c:v>24-May</c:v>
                </c:pt>
                <c:pt idx="15">
                  <c:v>25-May</c:v>
                </c:pt>
                <c:pt idx="16">
                  <c:v>26-May</c:v>
                </c:pt>
                <c:pt idx="17">
                  <c:v>27-May</c:v>
                </c:pt>
                <c:pt idx="18">
                  <c:v>28-May</c:v>
                </c:pt>
                <c:pt idx="19">
                  <c:v>29-May</c:v>
                </c:pt>
                <c:pt idx="20">
                  <c:v>2-May</c:v>
                </c:pt>
                <c:pt idx="21">
                  <c:v>30-May</c:v>
                </c:pt>
                <c:pt idx="22">
                  <c:v>31-May</c:v>
                </c:pt>
                <c:pt idx="23">
                  <c:v>3-May</c:v>
                </c:pt>
                <c:pt idx="24">
                  <c:v>4-May</c:v>
                </c:pt>
                <c:pt idx="25">
                  <c:v>5-May</c:v>
                </c:pt>
                <c:pt idx="26">
                  <c:v>6-May</c:v>
                </c:pt>
                <c:pt idx="27">
                  <c:v>7-May</c:v>
                </c:pt>
                <c:pt idx="28">
                  <c:v>8-May</c:v>
                </c:pt>
                <c:pt idx="29">
                  <c:v>9-May</c:v>
                </c:pt>
              </c:strCache>
            </c:strRef>
          </c:cat>
          <c:val>
            <c:numRef>
              <c:f>'Pivot Report'!$M$5:$M$35</c:f>
              <c:numCache>
                <c:formatCode>0.00</c:formatCode>
                <c:ptCount val="30"/>
                <c:pt idx="0">
                  <c:v>5.333333333333333</c:v>
                </c:pt>
                <c:pt idx="1">
                  <c:v>4.4000000000000004</c:v>
                </c:pt>
                <c:pt idx="2">
                  <c:v>3.25</c:v>
                </c:pt>
                <c:pt idx="3">
                  <c:v>6</c:v>
                </c:pt>
                <c:pt idx="4">
                  <c:v>3.3333333333333335</c:v>
                </c:pt>
                <c:pt idx="5">
                  <c:v>6.7</c:v>
                </c:pt>
                <c:pt idx="6">
                  <c:v>7.75</c:v>
                </c:pt>
                <c:pt idx="7">
                  <c:v>5.5</c:v>
                </c:pt>
                <c:pt idx="8">
                  <c:v>4.5</c:v>
                </c:pt>
                <c:pt idx="9">
                  <c:v>5.5</c:v>
                </c:pt>
                <c:pt idx="10">
                  <c:v>6</c:v>
                </c:pt>
                <c:pt idx="11">
                  <c:v>5.75</c:v>
                </c:pt>
                <c:pt idx="12">
                  <c:v>3.1428571428571428</c:v>
                </c:pt>
                <c:pt idx="13">
                  <c:v>4</c:v>
                </c:pt>
                <c:pt idx="14">
                  <c:v>6.5</c:v>
                </c:pt>
                <c:pt idx="15">
                  <c:v>4</c:v>
                </c:pt>
                <c:pt idx="16">
                  <c:v>7.333333333333333</c:v>
                </c:pt>
                <c:pt idx="17">
                  <c:v>5.333333333333333</c:v>
                </c:pt>
                <c:pt idx="18">
                  <c:v>4.75</c:v>
                </c:pt>
                <c:pt idx="19">
                  <c:v>4</c:v>
                </c:pt>
                <c:pt idx="20">
                  <c:v>3.3333333333333335</c:v>
                </c:pt>
                <c:pt idx="21">
                  <c:v>4</c:v>
                </c:pt>
                <c:pt idx="22">
                  <c:v>8.3333333333333339</c:v>
                </c:pt>
                <c:pt idx="23">
                  <c:v>6</c:v>
                </c:pt>
                <c:pt idx="24">
                  <c:v>4.8</c:v>
                </c:pt>
                <c:pt idx="25">
                  <c:v>5.5</c:v>
                </c:pt>
                <c:pt idx="26">
                  <c:v>5.25</c:v>
                </c:pt>
                <c:pt idx="27">
                  <c:v>4.8</c:v>
                </c:pt>
                <c:pt idx="28">
                  <c:v>4.5</c:v>
                </c:pt>
                <c:pt idx="29">
                  <c:v>5</c:v>
                </c:pt>
              </c:numCache>
            </c:numRef>
          </c:val>
          <c:extLst>
            <c:ext xmlns:c16="http://schemas.microsoft.com/office/drawing/2014/chart" uri="{C3380CC4-5D6E-409C-BE32-E72D297353CC}">
              <c16:uniqueId val="{00000000-BC0F-4FC1-8F3F-79C20BD75B9B}"/>
            </c:ext>
          </c:extLst>
        </c:ser>
        <c:dLbls>
          <c:showLegendKey val="0"/>
          <c:showVal val="0"/>
          <c:showCatName val="0"/>
          <c:showSerName val="0"/>
          <c:showPercent val="0"/>
          <c:showBubbleSize val="0"/>
        </c:dLbls>
        <c:axId val="1107211423"/>
        <c:axId val="1107205183"/>
      </c:areaChart>
      <c:catAx>
        <c:axId val="1107211423"/>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en-US"/>
          </a:p>
        </c:txPr>
        <c:crossAx val="1107205183"/>
        <c:crosses val="autoZero"/>
        <c:auto val="1"/>
        <c:lblAlgn val="ctr"/>
        <c:lblOffset val="100"/>
        <c:noMultiLvlLbl val="0"/>
      </c:catAx>
      <c:valAx>
        <c:axId val="1107205183"/>
        <c:scaling>
          <c:orientation val="minMax"/>
        </c:scaling>
        <c:delete val="1"/>
        <c:axPos val="l"/>
        <c:numFmt formatCode="0.00" sourceLinked="1"/>
        <c:majorTickMark val="out"/>
        <c:minorTickMark val="none"/>
        <c:tickLblPos val="nextTo"/>
        <c:crossAx val="1107211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hyperlink" Target="#'Avergae wait time daily trend'!A1"/><Relationship Id="rId17" Type="http://schemas.openxmlformats.org/officeDocument/2006/relationships/chart" Target="../charts/chart6.xml"/><Relationship Id="rId2" Type="http://schemas.openxmlformats.org/officeDocument/2006/relationships/hyperlink" Target="#'Satisfaction score daily trends'!A1"/><Relationship Id="rId16" Type="http://schemas.openxmlformats.org/officeDocument/2006/relationships/chart" Target="../charts/chart5.xml"/><Relationship Id="rId1" Type="http://schemas.openxmlformats.org/officeDocument/2006/relationships/hyperlink" Target="#'Daily ER No of patient'!A1"/><Relationship Id="rId6" Type="http://schemas.openxmlformats.org/officeDocument/2006/relationships/image" Target="../media/image4.svg"/><Relationship Id="rId11" Type="http://schemas.openxmlformats.org/officeDocument/2006/relationships/chart" Target="../charts/chart2.xml"/><Relationship Id="rId5" Type="http://schemas.openxmlformats.org/officeDocument/2006/relationships/image" Target="../media/image3.png"/><Relationship Id="rId15" Type="http://schemas.openxmlformats.org/officeDocument/2006/relationships/image" Target="../media/image9.emf"/><Relationship Id="rId10" Type="http://schemas.openxmlformats.org/officeDocument/2006/relationships/image" Target="../media/image8.svg"/><Relationship Id="rId19" Type="http://schemas.openxmlformats.org/officeDocument/2006/relationships/chart" Target="../charts/chart8.xml"/><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xdr:col>
      <xdr:colOff>198121</xdr:colOff>
      <xdr:row>49</xdr:row>
      <xdr:rowOff>135255</xdr:rowOff>
    </xdr:from>
    <xdr:to>
      <xdr:col>3</xdr:col>
      <xdr:colOff>2049780</xdr:colOff>
      <xdr:row>52</xdr:row>
      <xdr:rowOff>91440</xdr:rowOff>
    </xdr:to>
    <xdr:graphicFrame macro="">
      <xdr:nvGraphicFramePr>
        <xdr:cNvPr id="7" name="Chart 6">
          <a:extLst>
            <a:ext uri="{FF2B5EF4-FFF2-40B4-BE49-F238E27FC236}">
              <a16:creationId xmlns:a16="http://schemas.microsoft.com/office/drawing/2014/main" id="{F23D9C10-A2F1-269B-8775-A4319B2C1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50720</xdr:colOff>
      <xdr:row>0</xdr:row>
      <xdr:rowOff>150494</xdr:rowOff>
    </xdr:from>
    <xdr:to>
      <xdr:col>5</xdr:col>
      <xdr:colOff>553641</xdr:colOff>
      <xdr:row>4</xdr:row>
      <xdr:rowOff>47387</xdr:rowOff>
    </xdr:to>
    <xdr:sp macro="" textlink="">
      <xdr:nvSpPr>
        <xdr:cNvPr id="2" name="Rectangle: Rounded Corners 1">
          <a:extLst>
            <a:ext uri="{FF2B5EF4-FFF2-40B4-BE49-F238E27FC236}">
              <a16:creationId xmlns:a16="http://schemas.microsoft.com/office/drawing/2014/main" id="{684614AF-B355-FA19-F49E-2A20FC64C3CC}"/>
            </a:ext>
          </a:extLst>
        </xdr:cNvPr>
        <xdr:cNvSpPr/>
      </xdr:nvSpPr>
      <xdr:spPr>
        <a:xfrm>
          <a:off x="48815" y="150494"/>
          <a:ext cx="3537110" cy="609363"/>
        </a:xfrm>
        <a:prstGeom prst="roundRect">
          <a:avLst>
            <a:gd name="adj" fmla="val 174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587216</xdr:colOff>
      <xdr:row>0</xdr:row>
      <xdr:rowOff>93107</xdr:rowOff>
    </xdr:from>
    <xdr:to>
      <xdr:col>7</xdr:col>
      <xdr:colOff>468154</xdr:colOff>
      <xdr:row>5</xdr:row>
      <xdr:rowOff>20002</xdr:rowOff>
    </xdr:to>
    <xdr:sp macro="" textlink="">
      <xdr:nvSpPr>
        <xdr:cNvPr id="3" name="Rectangle: Rounded Corners 2">
          <a:extLst>
            <a:ext uri="{FF2B5EF4-FFF2-40B4-BE49-F238E27FC236}">
              <a16:creationId xmlns:a16="http://schemas.microsoft.com/office/drawing/2014/main" id="{AF63758F-4685-7B20-4811-8C6DCC5F1994}"/>
            </a:ext>
          </a:extLst>
        </xdr:cNvPr>
        <xdr:cNvSpPr/>
      </xdr:nvSpPr>
      <xdr:spPr>
        <a:xfrm>
          <a:off x="3645242" y="93107"/>
          <a:ext cx="1104149" cy="829263"/>
        </a:xfrm>
        <a:prstGeom prst="roundRect">
          <a:avLst>
            <a:gd name="adj" fmla="val 95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518159</xdr:colOff>
      <xdr:row>0</xdr:row>
      <xdr:rowOff>97155</xdr:rowOff>
    </xdr:from>
    <xdr:to>
      <xdr:col>10</xdr:col>
      <xdr:colOff>250268</xdr:colOff>
      <xdr:row>8</xdr:row>
      <xdr:rowOff>49530</xdr:rowOff>
    </xdr:to>
    <xdr:sp macro="" textlink="">
      <xdr:nvSpPr>
        <xdr:cNvPr id="4" name="Rectangle: Rounded Corners 3">
          <a:extLst>
            <a:ext uri="{FF2B5EF4-FFF2-40B4-BE49-F238E27FC236}">
              <a16:creationId xmlns:a16="http://schemas.microsoft.com/office/drawing/2014/main" id="{94AEA298-088E-6E55-89FA-ABC5FD9A0BFC}"/>
            </a:ext>
          </a:extLst>
        </xdr:cNvPr>
        <xdr:cNvSpPr/>
      </xdr:nvSpPr>
      <xdr:spPr>
        <a:xfrm>
          <a:off x="4764880" y="93345"/>
          <a:ext cx="1561386" cy="1383030"/>
        </a:xfrm>
        <a:prstGeom prst="roundRect">
          <a:avLst>
            <a:gd name="adj" fmla="val 95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307656</xdr:colOff>
      <xdr:row>0</xdr:row>
      <xdr:rowOff>96917</xdr:rowOff>
    </xdr:from>
    <xdr:to>
      <xdr:col>12</xdr:col>
      <xdr:colOff>536256</xdr:colOff>
      <xdr:row>8</xdr:row>
      <xdr:rowOff>39529</xdr:rowOff>
    </xdr:to>
    <xdr:sp macro="" textlink="">
      <xdr:nvSpPr>
        <xdr:cNvPr id="5" name="Rectangle: Rounded Corners 4">
          <a:extLst>
            <a:ext uri="{FF2B5EF4-FFF2-40B4-BE49-F238E27FC236}">
              <a16:creationId xmlns:a16="http://schemas.microsoft.com/office/drawing/2014/main" id="{E6FF5AE5-F6EE-ADAC-9931-681FB5EE8FB2}"/>
            </a:ext>
          </a:extLst>
        </xdr:cNvPr>
        <xdr:cNvSpPr/>
      </xdr:nvSpPr>
      <xdr:spPr>
        <a:xfrm>
          <a:off x="6379844" y="96917"/>
          <a:ext cx="1443037" cy="1371362"/>
        </a:xfrm>
        <a:prstGeom prst="roundRect">
          <a:avLst>
            <a:gd name="adj" fmla="val 95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59054</xdr:colOff>
      <xdr:row>4</xdr:row>
      <xdr:rowOff>77392</xdr:rowOff>
    </xdr:from>
    <xdr:to>
      <xdr:col>1</xdr:col>
      <xdr:colOff>358140</xdr:colOff>
      <xdr:row>23</xdr:row>
      <xdr:rowOff>53341</xdr:rowOff>
    </xdr:to>
    <xdr:sp macro="" textlink="">
      <xdr:nvSpPr>
        <xdr:cNvPr id="6" name="Rectangle: Rounded Corners 5">
          <a:extLst>
            <a:ext uri="{FF2B5EF4-FFF2-40B4-BE49-F238E27FC236}">
              <a16:creationId xmlns:a16="http://schemas.microsoft.com/office/drawing/2014/main" id="{21063EC2-967B-C537-C5C1-ADC6198247A2}"/>
            </a:ext>
          </a:extLst>
        </xdr:cNvPr>
        <xdr:cNvSpPr/>
      </xdr:nvSpPr>
      <xdr:spPr>
        <a:xfrm>
          <a:off x="55244" y="791767"/>
          <a:ext cx="913925" cy="3373040"/>
        </a:xfrm>
        <a:prstGeom prst="roundRect">
          <a:avLst>
            <a:gd name="adj" fmla="val 174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401003</xdr:colOff>
      <xdr:row>4</xdr:row>
      <xdr:rowOff>136209</xdr:rowOff>
    </xdr:from>
    <xdr:to>
      <xdr:col>3</xdr:col>
      <xdr:colOff>324803</xdr:colOff>
      <xdr:row>10</xdr:row>
      <xdr:rowOff>152401</xdr:rowOff>
    </xdr:to>
    <xdr:sp macro="" textlink="'Pivot Report'!A5">
      <xdr:nvSpPr>
        <xdr:cNvPr id="7" name="Rectangle: Rounded Corners 6">
          <a:hlinkClick xmlns:r="http://schemas.openxmlformats.org/officeDocument/2006/relationships" r:id="rId1"/>
          <a:extLst>
            <a:ext uri="{FF2B5EF4-FFF2-40B4-BE49-F238E27FC236}">
              <a16:creationId xmlns:a16="http://schemas.microsoft.com/office/drawing/2014/main" id="{22491852-DAD9-BCF6-0CD7-B4518AA7B027}"/>
            </a:ext>
          </a:extLst>
        </xdr:cNvPr>
        <xdr:cNvSpPr/>
      </xdr:nvSpPr>
      <xdr:spPr>
        <a:xfrm>
          <a:off x="1004412" y="846774"/>
          <a:ext cx="1138237" cy="1091565"/>
        </a:xfrm>
        <a:prstGeom prst="roundRect">
          <a:avLst>
            <a:gd name="adj" fmla="val 21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endParaRPr lang="en-IN" sz="1100"/>
        </a:p>
      </xdr:txBody>
    </xdr:sp>
    <xdr:clientData/>
  </xdr:twoCellAnchor>
  <xdr:twoCellAnchor editAs="absolute">
    <xdr:from>
      <xdr:col>3</xdr:col>
      <xdr:colOff>339328</xdr:colOff>
      <xdr:row>4</xdr:row>
      <xdr:rowOff>130969</xdr:rowOff>
    </xdr:from>
    <xdr:to>
      <xdr:col>5</xdr:col>
      <xdr:colOff>362190</xdr:colOff>
      <xdr:row>10</xdr:row>
      <xdr:rowOff>153830</xdr:rowOff>
    </xdr:to>
    <xdr:sp macro="" textlink="">
      <xdr:nvSpPr>
        <xdr:cNvPr id="8" name="Rectangle: Rounded Corners 7">
          <a:extLst>
            <a:ext uri="{FF2B5EF4-FFF2-40B4-BE49-F238E27FC236}">
              <a16:creationId xmlns:a16="http://schemas.microsoft.com/office/drawing/2014/main" id="{8985CC55-44A0-8E08-26BD-BD21EE2938F7}"/>
            </a:ext>
          </a:extLst>
        </xdr:cNvPr>
        <xdr:cNvSpPr/>
      </xdr:nvSpPr>
      <xdr:spPr>
        <a:xfrm>
          <a:off x="2160984" y="849154"/>
          <a:ext cx="1233490" cy="1090614"/>
        </a:xfrm>
        <a:prstGeom prst="roundRect">
          <a:avLst>
            <a:gd name="adj" fmla="val 15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407907</xdr:colOff>
      <xdr:row>5</xdr:row>
      <xdr:rowOff>60485</xdr:rowOff>
    </xdr:from>
    <xdr:to>
      <xdr:col>7</xdr:col>
      <xdr:colOff>458391</xdr:colOff>
      <xdr:row>10</xdr:row>
      <xdr:rowOff>163355</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353A5FB1-C227-C411-A3B6-CC453EEA5280}"/>
            </a:ext>
          </a:extLst>
        </xdr:cNvPr>
        <xdr:cNvSpPr/>
      </xdr:nvSpPr>
      <xdr:spPr>
        <a:xfrm>
          <a:off x="3445906" y="949644"/>
          <a:ext cx="1263016" cy="997744"/>
        </a:xfrm>
        <a:prstGeom prst="roundRect">
          <a:avLst>
            <a:gd name="adj" fmla="val 31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422673</xdr:colOff>
      <xdr:row>11</xdr:row>
      <xdr:rowOff>59531</xdr:rowOff>
    </xdr:from>
    <xdr:to>
      <xdr:col>7</xdr:col>
      <xdr:colOff>458391</xdr:colOff>
      <xdr:row>15</xdr:row>
      <xdr:rowOff>172165</xdr:rowOff>
    </xdr:to>
    <xdr:sp macro="" textlink="">
      <xdr:nvSpPr>
        <xdr:cNvPr id="10" name="Rectangle: Rounded Corners 9">
          <a:extLst>
            <a:ext uri="{FF2B5EF4-FFF2-40B4-BE49-F238E27FC236}">
              <a16:creationId xmlns:a16="http://schemas.microsoft.com/office/drawing/2014/main" id="{74AC8EBC-28DE-0EB7-0748-A2E4B2C689F2}"/>
            </a:ext>
          </a:extLst>
        </xdr:cNvPr>
        <xdr:cNvSpPr/>
      </xdr:nvSpPr>
      <xdr:spPr>
        <a:xfrm>
          <a:off x="1029892" y="2020252"/>
          <a:ext cx="3679030" cy="827009"/>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438387</xdr:colOff>
      <xdr:row>16</xdr:row>
      <xdr:rowOff>59294</xdr:rowOff>
    </xdr:from>
    <xdr:to>
      <xdr:col>7</xdr:col>
      <xdr:colOff>473868</xdr:colOff>
      <xdr:row>23</xdr:row>
      <xdr:rowOff>98823</xdr:rowOff>
    </xdr:to>
    <xdr:sp macro="" textlink="">
      <xdr:nvSpPr>
        <xdr:cNvPr id="11" name="Rectangle: Rounded Corners 10">
          <a:extLst>
            <a:ext uri="{FF2B5EF4-FFF2-40B4-BE49-F238E27FC236}">
              <a16:creationId xmlns:a16="http://schemas.microsoft.com/office/drawing/2014/main" id="{1B7E8C80-9150-4A03-E495-FCDD0B203B42}"/>
            </a:ext>
          </a:extLst>
        </xdr:cNvPr>
        <xdr:cNvSpPr/>
      </xdr:nvSpPr>
      <xdr:spPr>
        <a:xfrm>
          <a:off x="1041796" y="2912984"/>
          <a:ext cx="3678793" cy="1289685"/>
        </a:xfrm>
        <a:prstGeom prst="roundRect">
          <a:avLst>
            <a:gd name="adj" fmla="val 174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7</xdr:col>
      <xdr:colOff>542448</xdr:colOff>
      <xdr:row>8</xdr:row>
      <xdr:rowOff>73819</xdr:rowOff>
    </xdr:from>
    <xdr:to>
      <xdr:col>12</xdr:col>
      <xdr:colOff>536258</xdr:colOff>
      <xdr:row>23</xdr:row>
      <xdr:rowOff>57388</xdr:rowOff>
    </xdr:to>
    <xdr:sp macro="" textlink="">
      <xdr:nvSpPr>
        <xdr:cNvPr id="14" name="Rectangle: Rounded Corners 13">
          <a:extLst>
            <a:ext uri="{FF2B5EF4-FFF2-40B4-BE49-F238E27FC236}">
              <a16:creationId xmlns:a16="http://schemas.microsoft.com/office/drawing/2014/main" id="{CF8138A2-2CD3-E1CC-FED6-9DFE4F3D9DE1}"/>
            </a:ext>
          </a:extLst>
        </xdr:cNvPr>
        <xdr:cNvSpPr/>
      </xdr:nvSpPr>
      <xdr:spPr>
        <a:xfrm>
          <a:off x="4792979" y="1502569"/>
          <a:ext cx="3029904" cy="2662475"/>
        </a:xfrm>
        <a:prstGeom prst="roundRect">
          <a:avLst>
            <a:gd name="adj" fmla="val 280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573643</xdr:colOff>
      <xdr:row>1</xdr:row>
      <xdr:rowOff>110966</xdr:rowOff>
    </xdr:from>
    <xdr:to>
      <xdr:col>4</xdr:col>
      <xdr:colOff>514112</xdr:colOff>
      <xdr:row>3</xdr:row>
      <xdr:rowOff>31433</xdr:rowOff>
    </xdr:to>
    <xdr:sp macro="" textlink="">
      <xdr:nvSpPr>
        <xdr:cNvPr id="15" name="TextBox 14">
          <a:extLst>
            <a:ext uri="{FF2B5EF4-FFF2-40B4-BE49-F238E27FC236}">
              <a16:creationId xmlns:a16="http://schemas.microsoft.com/office/drawing/2014/main" id="{5D539D33-BB86-97C7-2E8F-BD78757814BC}"/>
            </a:ext>
          </a:extLst>
        </xdr:cNvPr>
        <xdr:cNvSpPr txBox="1"/>
      </xdr:nvSpPr>
      <xdr:spPr>
        <a:xfrm>
          <a:off x="573643" y="289560"/>
          <a:ext cx="2373154" cy="279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Hospital Emergency</a:t>
          </a:r>
          <a:r>
            <a:rPr lang="en-IN" sz="1200" baseline="0"/>
            <a:t> Room Dashboard</a:t>
          </a:r>
          <a:endParaRPr lang="en-IN" sz="1200"/>
        </a:p>
      </xdr:txBody>
    </xdr:sp>
    <xdr:clientData/>
  </xdr:twoCellAnchor>
  <xdr:twoCellAnchor editAs="absolute">
    <xdr:from>
      <xdr:col>2</xdr:col>
      <xdr:colOff>202168</xdr:colOff>
      <xdr:row>5</xdr:row>
      <xdr:rowOff>85010</xdr:rowOff>
    </xdr:from>
    <xdr:to>
      <xdr:col>4</xdr:col>
      <xdr:colOff>20956</xdr:colOff>
      <xdr:row>7</xdr:row>
      <xdr:rowOff>20717</xdr:rowOff>
    </xdr:to>
    <xdr:sp macro="" textlink="'Pivot Report'!A5">
      <xdr:nvSpPr>
        <xdr:cNvPr id="16" name="TextBox 15">
          <a:extLst>
            <a:ext uri="{FF2B5EF4-FFF2-40B4-BE49-F238E27FC236}">
              <a16:creationId xmlns:a16="http://schemas.microsoft.com/office/drawing/2014/main" id="{88BDF9A4-A61E-F889-F6B7-1391811C7E5E}"/>
            </a:ext>
          </a:extLst>
        </xdr:cNvPr>
        <xdr:cNvSpPr txBox="1"/>
      </xdr:nvSpPr>
      <xdr:spPr>
        <a:xfrm>
          <a:off x="1414701" y="976074"/>
          <a:ext cx="1031320" cy="290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645388F-AD41-4391-953D-A1AFAD14AEB4}" type="TxLink">
            <a:rPr lang="en-US" sz="1100" b="0" i="0" u="none" strike="noStrike">
              <a:solidFill>
                <a:srgbClr val="000000"/>
              </a:solidFill>
              <a:latin typeface="Calibri"/>
              <a:ea typeface="Calibri"/>
              <a:cs typeface="Calibri"/>
            </a:rPr>
            <a:t>480</a:t>
          </a:fld>
          <a:endParaRPr lang="en-IN" sz="1200"/>
        </a:p>
      </xdr:txBody>
    </xdr:sp>
    <xdr:clientData/>
  </xdr:twoCellAnchor>
  <xdr:twoCellAnchor editAs="absolute">
    <xdr:from>
      <xdr:col>1</xdr:col>
      <xdr:colOff>597455</xdr:colOff>
      <xdr:row>2</xdr:row>
      <xdr:rowOff>136445</xdr:rowOff>
    </xdr:from>
    <xdr:to>
      <xdr:col>3</xdr:col>
      <xdr:colOff>410528</xdr:colOff>
      <xdr:row>4</xdr:row>
      <xdr:rowOff>55007</xdr:rowOff>
    </xdr:to>
    <xdr:sp macro="" textlink="">
      <xdr:nvSpPr>
        <xdr:cNvPr id="17" name="TextBox 16">
          <a:extLst>
            <a:ext uri="{FF2B5EF4-FFF2-40B4-BE49-F238E27FC236}">
              <a16:creationId xmlns:a16="http://schemas.microsoft.com/office/drawing/2014/main" id="{E8399ABE-BFA2-288A-BAE9-206AE957098F}"/>
            </a:ext>
          </a:extLst>
        </xdr:cNvPr>
        <xdr:cNvSpPr txBox="1"/>
      </xdr:nvSpPr>
      <xdr:spPr>
        <a:xfrm>
          <a:off x="1206579" y="489823"/>
          <a:ext cx="1027510" cy="27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Montly Report</a:t>
          </a:r>
        </a:p>
      </xdr:txBody>
    </xdr:sp>
    <xdr:clientData/>
  </xdr:twoCellAnchor>
  <xdr:twoCellAnchor editAs="absolute">
    <xdr:from>
      <xdr:col>1</xdr:col>
      <xdr:colOff>516016</xdr:colOff>
      <xdr:row>6</xdr:row>
      <xdr:rowOff>96916</xdr:rowOff>
    </xdr:from>
    <xdr:to>
      <xdr:col>3</xdr:col>
      <xdr:colOff>321469</xdr:colOff>
      <xdr:row>8</xdr:row>
      <xdr:rowOff>15478</xdr:rowOff>
    </xdr:to>
    <xdr:sp macro="" textlink="">
      <xdr:nvSpPr>
        <xdr:cNvPr id="18" name="TextBox 17">
          <a:extLst>
            <a:ext uri="{FF2B5EF4-FFF2-40B4-BE49-F238E27FC236}">
              <a16:creationId xmlns:a16="http://schemas.microsoft.com/office/drawing/2014/main" id="{559F4C1F-C6A8-0392-89AE-3ECDCB9C5FB8}"/>
            </a:ext>
          </a:extLst>
        </xdr:cNvPr>
        <xdr:cNvSpPr txBox="1"/>
      </xdr:nvSpPr>
      <xdr:spPr>
        <a:xfrm>
          <a:off x="1119425" y="1164669"/>
          <a:ext cx="1027510" cy="283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aseline="0"/>
            <a:t>No. of Patient </a:t>
          </a:r>
          <a:endParaRPr lang="en-IN" sz="1200"/>
        </a:p>
      </xdr:txBody>
    </xdr:sp>
    <xdr:clientData/>
  </xdr:twoCellAnchor>
  <xdr:twoCellAnchor editAs="absolute">
    <xdr:from>
      <xdr:col>4</xdr:col>
      <xdr:colOff>210026</xdr:colOff>
      <xdr:row>5</xdr:row>
      <xdr:rowOff>86915</xdr:rowOff>
    </xdr:from>
    <xdr:to>
      <xdr:col>6</xdr:col>
      <xdr:colOff>21193</xdr:colOff>
      <xdr:row>7</xdr:row>
      <xdr:rowOff>18812</xdr:rowOff>
    </xdr:to>
    <xdr:sp macro="" textlink="'Pivot Report'!A9">
      <xdr:nvSpPr>
        <xdr:cNvPr id="25" name="TextBox 24">
          <a:extLst>
            <a:ext uri="{FF2B5EF4-FFF2-40B4-BE49-F238E27FC236}">
              <a16:creationId xmlns:a16="http://schemas.microsoft.com/office/drawing/2014/main" id="{EE52E558-5A91-3FF2-0229-520B47254221}"/>
            </a:ext>
          </a:extLst>
        </xdr:cNvPr>
        <xdr:cNvSpPr txBox="1"/>
      </xdr:nvSpPr>
      <xdr:spPr>
        <a:xfrm>
          <a:off x="2635091" y="977979"/>
          <a:ext cx="1025605" cy="29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767120A-FD04-4DF3-AEAF-5CFE5746D8EC}" type="TxLink">
            <a:rPr lang="en-US" sz="1100" b="0" i="0" u="none" strike="noStrike">
              <a:solidFill>
                <a:srgbClr val="000000"/>
              </a:solidFill>
              <a:latin typeface="Calibri"/>
              <a:ea typeface="Calibri"/>
              <a:cs typeface="Calibri"/>
            </a:rPr>
            <a:t>34.43</a:t>
          </a:fld>
          <a:endParaRPr lang="en-IN" sz="1200"/>
        </a:p>
      </xdr:txBody>
    </xdr:sp>
    <xdr:clientData/>
  </xdr:twoCellAnchor>
  <xdr:twoCellAnchor editAs="absolute">
    <xdr:from>
      <xdr:col>3</xdr:col>
      <xdr:colOff>363141</xdr:colOff>
      <xdr:row>6</xdr:row>
      <xdr:rowOff>96678</xdr:rowOff>
    </xdr:from>
    <xdr:to>
      <xdr:col>5</xdr:col>
      <xdr:colOff>373142</xdr:colOff>
      <xdr:row>8</xdr:row>
      <xdr:rowOff>17145</xdr:rowOff>
    </xdr:to>
    <xdr:sp macro="" textlink="">
      <xdr:nvSpPr>
        <xdr:cNvPr id="26" name="TextBox 25">
          <a:extLst>
            <a:ext uri="{FF2B5EF4-FFF2-40B4-BE49-F238E27FC236}">
              <a16:creationId xmlns:a16="http://schemas.microsoft.com/office/drawing/2014/main" id="{960312AA-35BA-FB3E-2AE2-59F88DD40419}"/>
            </a:ext>
          </a:extLst>
        </xdr:cNvPr>
        <xdr:cNvSpPr txBox="1"/>
      </xdr:nvSpPr>
      <xdr:spPr>
        <a:xfrm>
          <a:off x="2180987" y="1164431"/>
          <a:ext cx="1230154" cy="28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aseline="0"/>
            <a:t>Average Wait Time</a:t>
          </a:r>
          <a:endParaRPr lang="en-IN" sz="1200"/>
        </a:p>
      </xdr:txBody>
    </xdr:sp>
    <xdr:clientData/>
  </xdr:twoCellAnchor>
  <xdr:twoCellAnchor editAs="absolute">
    <xdr:from>
      <xdr:col>6</xdr:col>
      <xdr:colOff>240030</xdr:colOff>
      <xdr:row>5</xdr:row>
      <xdr:rowOff>55483</xdr:rowOff>
    </xdr:from>
    <xdr:to>
      <xdr:col>8</xdr:col>
      <xdr:colOff>60723</xdr:colOff>
      <xdr:row>6</xdr:row>
      <xdr:rowOff>169783</xdr:rowOff>
    </xdr:to>
    <xdr:sp macro="" textlink="'Pivot Report'!A12">
      <xdr:nvSpPr>
        <xdr:cNvPr id="27" name="TextBox 26">
          <a:extLst>
            <a:ext uri="{FF2B5EF4-FFF2-40B4-BE49-F238E27FC236}">
              <a16:creationId xmlns:a16="http://schemas.microsoft.com/office/drawing/2014/main" id="{6EBFAE5F-566C-589F-CC49-50076E049227}"/>
            </a:ext>
          </a:extLst>
        </xdr:cNvPr>
        <xdr:cNvSpPr txBox="1"/>
      </xdr:nvSpPr>
      <xdr:spPr>
        <a:xfrm>
          <a:off x="3881438" y="952262"/>
          <a:ext cx="1033225" cy="29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0185217-B2CA-4309-8761-43300F1F3664}" type="TxLink">
            <a:rPr lang="en-US" sz="1100" b="0" i="0" u="none" strike="noStrike">
              <a:solidFill>
                <a:srgbClr val="000000"/>
              </a:solidFill>
              <a:latin typeface="Calibri"/>
              <a:ea typeface="Calibri"/>
              <a:cs typeface="Calibri"/>
            </a:rPr>
            <a:t>5.16</a:t>
          </a:fld>
          <a:endParaRPr lang="en-IN" sz="1200"/>
        </a:p>
      </xdr:txBody>
    </xdr:sp>
    <xdr:clientData/>
  </xdr:twoCellAnchor>
  <xdr:twoCellAnchor editAs="absolute">
    <xdr:from>
      <xdr:col>5</xdr:col>
      <xdr:colOff>486251</xdr:colOff>
      <xdr:row>6</xdr:row>
      <xdr:rowOff>75485</xdr:rowOff>
    </xdr:from>
    <xdr:to>
      <xdr:col>7</xdr:col>
      <xdr:colOff>474345</xdr:colOff>
      <xdr:row>8</xdr:row>
      <xdr:rowOff>3572</xdr:rowOff>
    </xdr:to>
    <xdr:sp macro="" textlink="">
      <xdr:nvSpPr>
        <xdr:cNvPr id="28" name="TextBox 27">
          <a:extLst>
            <a:ext uri="{FF2B5EF4-FFF2-40B4-BE49-F238E27FC236}">
              <a16:creationId xmlns:a16="http://schemas.microsoft.com/office/drawing/2014/main" id="{8C0C1219-33BD-39BC-C62C-E2940D7A36D8}"/>
            </a:ext>
          </a:extLst>
        </xdr:cNvPr>
        <xdr:cNvSpPr txBox="1"/>
      </xdr:nvSpPr>
      <xdr:spPr>
        <a:xfrm>
          <a:off x="3524250" y="1147048"/>
          <a:ext cx="1204436" cy="28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aseline="0"/>
            <a:t>Satisfaction Score </a:t>
          </a:r>
          <a:endParaRPr lang="en-IN" sz="1200"/>
        </a:p>
      </xdr:txBody>
    </xdr:sp>
    <xdr:clientData/>
  </xdr:twoCellAnchor>
  <xdr:twoCellAnchor editAs="oneCell">
    <xdr:from>
      <xdr:col>2</xdr:col>
      <xdr:colOff>531971</xdr:colOff>
      <xdr:row>5</xdr:row>
      <xdr:rowOff>41671</xdr:rowOff>
    </xdr:from>
    <xdr:to>
      <xdr:col>3</xdr:col>
      <xdr:colOff>295751</xdr:colOff>
      <xdr:row>6</xdr:row>
      <xdr:rowOff>56196</xdr:rowOff>
    </xdr:to>
    <xdr:pic>
      <xdr:nvPicPr>
        <xdr:cNvPr id="30" name="Graphic 29" descr="Universal Access">
          <a:extLst>
            <a:ext uri="{FF2B5EF4-FFF2-40B4-BE49-F238E27FC236}">
              <a16:creationId xmlns:a16="http://schemas.microsoft.com/office/drawing/2014/main" id="{948EBBA0-F5B5-155A-258A-38675D1E5B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46409" y="934640"/>
          <a:ext cx="372903" cy="196929"/>
        </a:xfrm>
        <a:prstGeom prst="rect">
          <a:avLst/>
        </a:prstGeom>
      </xdr:spPr>
    </xdr:pic>
    <xdr:clientData/>
  </xdr:twoCellAnchor>
  <xdr:twoCellAnchor editAs="oneCell">
    <xdr:from>
      <xdr:col>5</xdr:col>
      <xdr:colOff>85248</xdr:colOff>
      <xdr:row>5</xdr:row>
      <xdr:rowOff>35719</xdr:rowOff>
    </xdr:from>
    <xdr:to>
      <xdr:col>5</xdr:col>
      <xdr:colOff>355044</xdr:colOff>
      <xdr:row>6</xdr:row>
      <xdr:rowOff>77391</xdr:rowOff>
    </xdr:to>
    <xdr:pic>
      <xdr:nvPicPr>
        <xdr:cNvPr id="32" name="Graphic 31" descr="Hourglass">
          <a:extLst>
            <a:ext uri="{FF2B5EF4-FFF2-40B4-BE49-F238E27FC236}">
              <a16:creationId xmlns:a16="http://schemas.microsoft.com/office/drawing/2014/main" id="{6B702191-62D6-30A9-9E06-6C16FDA1B6C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21342" y="928688"/>
          <a:ext cx="267891" cy="220266"/>
        </a:xfrm>
        <a:prstGeom prst="rect">
          <a:avLst/>
        </a:prstGeom>
      </xdr:spPr>
    </xdr:pic>
    <xdr:clientData/>
  </xdr:twoCellAnchor>
  <xdr:twoCellAnchor editAs="oneCell">
    <xdr:from>
      <xdr:col>7</xdr:col>
      <xdr:colOff>33576</xdr:colOff>
      <xdr:row>5</xdr:row>
      <xdr:rowOff>83344</xdr:rowOff>
    </xdr:from>
    <xdr:to>
      <xdr:col>7</xdr:col>
      <xdr:colOff>391002</xdr:colOff>
      <xdr:row>6</xdr:row>
      <xdr:rowOff>73581</xdr:rowOff>
    </xdr:to>
    <xdr:pic>
      <xdr:nvPicPr>
        <xdr:cNvPr id="34" name="Graphic 33" descr="Customer review">
          <a:extLst>
            <a:ext uri="{FF2B5EF4-FFF2-40B4-BE49-F238E27FC236}">
              <a16:creationId xmlns:a16="http://schemas.microsoft.com/office/drawing/2014/main" id="{C088086B-A67C-B801-C147-BB4AFCD2489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84107" y="976313"/>
          <a:ext cx="355521" cy="168831"/>
        </a:xfrm>
        <a:prstGeom prst="rect">
          <a:avLst/>
        </a:prstGeom>
      </xdr:spPr>
    </xdr:pic>
    <xdr:clientData/>
  </xdr:twoCellAnchor>
  <xdr:twoCellAnchor editAs="oneCell">
    <xdr:from>
      <xdr:col>0</xdr:col>
      <xdr:colOff>65484</xdr:colOff>
      <xdr:row>1</xdr:row>
      <xdr:rowOff>71437</xdr:rowOff>
    </xdr:from>
    <xdr:to>
      <xdr:col>0</xdr:col>
      <xdr:colOff>543639</xdr:colOff>
      <xdr:row>3</xdr:row>
      <xdr:rowOff>25956</xdr:rowOff>
    </xdr:to>
    <xdr:pic>
      <xdr:nvPicPr>
        <xdr:cNvPr id="36" name="Graphic 35" descr="Medical">
          <a:extLst>
            <a:ext uri="{FF2B5EF4-FFF2-40B4-BE49-F238E27FC236}">
              <a16:creationId xmlns:a16="http://schemas.microsoft.com/office/drawing/2014/main" id="{2EF18990-99AE-0037-2BCF-2D33877A927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5484" y="250031"/>
          <a:ext cx="476250" cy="313611"/>
        </a:xfrm>
        <a:prstGeom prst="rect">
          <a:avLst/>
        </a:prstGeom>
      </xdr:spPr>
    </xdr:pic>
    <xdr:clientData/>
  </xdr:twoCellAnchor>
  <xdr:twoCellAnchor editAs="oneCell">
    <xdr:from>
      <xdr:col>0</xdr:col>
      <xdr:colOff>98822</xdr:colOff>
      <xdr:row>4</xdr:row>
      <xdr:rowOff>168831</xdr:rowOff>
    </xdr:from>
    <xdr:to>
      <xdr:col>1</xdr:col>
      <xdr:colOff>304603</xdr:colOff>
      <xdr:row>22</xdr:row>
      <xdr:rowOff>170497</xdr:rowOff>
    </xdr:to>
    <mc:AlternateContent xmlns:mc="http://schemas.openxmlformats.org/markup-compatibility/2006">
      <mc:Choice xmlns:a14="http://schemas.microsoft.com/office/drawing/2010/main" Requires="a14">
        <xdr:graphicFrame macro="">
          <xdr:nvGraphicFramePr>
            <xdr:cNvPr id="37" name="Date (Month)">
              <a:extLst>
                <a:ext uri="{FF2B5EF4-FFF2-40B4-BE49-F238E27FC236}">
                  <a16:creationId xmlns:a16="http://schemas.microsoft.com/office/drawing/2014/main" id="{E3BA0B55-B29C-44B6-9C88-E26151F412E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95012" y="894536"/>
              <a:ext cx="821196" cy="3250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270983</xdr:colOff>
      <xdr:row>5</xdr:row>
      <xdr:rowOff>128825</xdr:rowOff>
    </xdr:from>
    <xdr:to>
      <xdr:col>3</xdr:col>
      <xdr:colOff>428863</xdr:colOff>
      <xdr:row>10</xdr:row>
      <xdr:rowOff>132873</xdr:rowOff>
    </xdr:to>
    <xdr:graphicFrame macro="">
      <xdr:nvGraphicFramePr>
        <xdr:cNvPr id="40" name="Chart 39">
          <a:extLst>
            <a:ext uri="{FF2B5EF4-FFF2-40B4-BE49-F238E27FC236}">
              <a16:creationId xmlns:a16="http://schemas.microsoft.com/office/drawing/2014/main" id="{997817B0-747A-1166-AA34-6DB1D19CA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327897</xdr:colOff>
      <xdr:row>6</xdr:row>
      <xdr:rowOff>132396</xdr:rowOff>
    </xdr:from>
    <xdr:to>
      <xdr:col>5</xdr:col>
      <xdr:colOff>361237</xdr:colOff>
      <xdr:row>11</xdr:row>
      <xdr:rowOff>91440</xdr:rowOff>
    </xdr:to>
    <xdr:graphicFrame macro="">
      <xdr:nvGraphicFramePr>
        <xdr:cNvPr id="41" name="Chart 40">
          <a:hlinkClick xmlns:r="http://schemas.openxmlformats.org/officeDocument/2006/relationships" r:id="rId12"/>
          <a:extLst>
            <a:ext uri="{FF2B5EF4-FFF2-40B4-BE49-F238E27FC236}">
              <a16:creationId xmlns:a16="http://schemas.microsoft.com/office/drawing/2014/main" id="{7708DD18-CB1F-4431-879F-D4AD5191C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383380</xdr:colOff>
      <xdr:row>6</xdr:row>
      <xdr:rowOff>176451</xdr:rowOff>
    </xdr:from>
    <xdr:to>
      <xdr:col>7</xdr:col>
      <xdr:colOff>484108</xdr:colOff>
      <xdr:row>10</xdr:row>
      <xdr:rowOff>146922</xdr:rowOff>
    </xdr:to>
    <xdr:graphicFrame macro="">
      <xdr:nvGraphicFramePr>
        <xdr:cNvPr id="42" name="Chart 41">
          <a:hlinkClick xmlns:r="http://schemas.openxmlformats.org/officeDocument/2006/relationships" r:id="rId2"/>
          <a:extLst>
            <a:ext uri="{FF2B5EF4-FFF2-40B4-BE49-F238E27FC236}">
              <a16:creationId xmlns:a16="http://schemas.microsoft.com/office/drawing/2014/main" id="{AA2D1FEF-6DFE-4B9F-869E-3021B535A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434580</xdr:colOff>
          <xdr:row>11</xdr:row>
          <xdr:rowOff>77391</xdr:rowOff>
        </xdr:from>
        <xdr:to>
          <xdr:col>7</xdr:col>
          <xdr:colOff>448628</xdr:colOff>
          <xdr:row>15</xdr:row>
          <xdr:rowOff>168355</xdr:rowOff>
        </xdr:to>
        <xdr:pic>
          <xdr:nvPicPr>
            <xdr:cNvPr id="44" name="Picture 43">
              <a:extLst>
                <a:ext uri="{FF2B5EF4-FFF2-40B4-BE49-F238E27FC236}">
                  <a16:creationId xmlns:a16="http://schemas.microsoft.com/office/drawing/2014/main" id="{ED4BBFD1-4020-67CB-EC75-7A37B12A946B}"/>
                </a:ext>
              </a:extLst>
            </xdr:cNvPr>
            <xdr:cNvPicPr>
              <a:picLocks noChangeAspect="1" noChangeArrowheads="1"/>
              <a:extLst>
                <a:ext uri="{84589F7E-364E-4C9E-8A38-B11213B215E9}">
                  <a14:cameraTool cellRange="'Pivot Report'!$A$50:$D$52" spid="_x0000_s3080"/>
                </a:ext>
              </a:extLst>
            </xdr:cNvPicPr>
          </xdr:nvPicPr>
          <xdr:blipFill>
            <a:blip xmlns:r="http://schemas.openxmlformats.org/officeDocument/2006/relationships" r:embed="rId15"/>
            <a:srcRect/>
            <a:stretch>
              <a:fillRect/>
            </a:stretch>
          </xdr:blipFill>
          <xdr:spPr bwMode="auto">
            <a:xfrm>
              <a:off x="1041799" y="2041922"/>
              <a:ext cx="3659265" cy="80152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130968</xdr:colOff>
      <xdr:row>15</xdr:row>
      <xdr:rowOff>168355</xdr:rowOff>
    </xdr:from>
    <xdr:to>
      <xdr:col>7</xdr:col>
      <xdr:colOff>59531</xdr:colOff>
      <xdr:row>21</xdr:row>
      <xdr:rowOff>148828</xdr:rowOff>
    </xdr:to>
    <xdr:graphicFrame macro="">
      <xdr:nvGraphicFramePr>
        <xdr:cNvPr id="45" name="Chart 44">
          <a:extLst>
            <a:ext uri="{FF2B5EF4-FFF2-40B4-BE49-F238E27FC236}">
              <a16:creationId xmlns:a16="http://schemas.microsoft.com/office/drawing/2014/main" id="{13F0CEB2-F386-4CC4-9A7B-53AB8463F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73343</xdr:colOff>
      <xdr:row>21</xdr:row>
      <xdr:rowOff>170496</xdr:rowOff>
    </xdr:from>
    <xdr:to>
      <xdr:col>6</xdr:col>
      <xdr:colOff>168831</xdr:colOff>
      <xdr:row>24</xdr:row>
      <xdr:rowOff>19526</xdr:rowOff>
    </xdr:to>
    <xdr:sp macro="" textlink="">
      <xdr:nvSpPr>
        <xdr:cNvPr id="46" name="TextBox 45">
          <a:extLst>
            <a:ext uri="{FF2B5EF4-FFF2-40B4-BE49-F238E27FC236}">
              <a16:creationId xmlns:a16="http://schemas.microsoft.com/office/drawing/2014/main" id="{0C3B5622-07F4-20EC-F4F9-33BE7E2F2FC7}"/>
            </a:ext>
          </a:extLst>
        </xdr:cNvPr>
        <xdr:cNvSpPr txBox="1"/>
      </xdr:nvSpPr>
      <xdr:spPr>
        <a:xfrm>
          <a:off x="1894999" y="3924775"/>
          <a:ext cx="1920955" cy="377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aseline="0"/>
            <a:t>No. of Patients by Age group</a:t>
          </a:r>
          <a:endParaRPr lang="en-IN" sz="1200"/>
        </a:p>
      </xdr:txBody>
    </xdr:sp>
    <xdr:clientData/>
  </xdr:twoCellAnchor>
  <xdr:twoCellAnchor>
    <xdr:from>
      <xdr:col>8</xdr:col>
      <xdr:colOff>80488</xdr:colOff>
      <xdr:row>0</xdr:row>
      <xdr:rowOff>21195</xdr:rowOff>
    </xdr:from>
    <xdr:to>
      <xdr:col>10</xdr:col>
      <xdr:colOff>573642</xdr:colOff>
      <xdr:row>8</xdr:row>
      <xdr:rowOff>75486</xdr:rowOff>
    </xdr:to>
    <xdr:graphicFrame macro="">
      <xdr:nvGraphicFramePr>
        <xdr:cNvPr id="47" name="Chart 46">
          <a:extLst>
            <a:ext uri="{FF2B5EF4-FFF2-40B4-BE49-F238E27FC236}">
              <a16:creationId xmlns:a16="http://schemas.microsoft.com/office/drawing/2014/main" id="{ED667116-7C97-4A76-835A-AE903B89C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37622</xdr:colOff>
      <xdr:row>6</xdr:row>
      <xdr:rowOff>176451</xdr:rowOff>
    </xdr:from>
    <xdr:to>
      <xdr:col>10</xdr:col>
      <xdr:colOff>216216</xdr:colOff>
      <xdr:row>7</xdr:row>
      <xdr:rowOff>152639</xdr:rowOff>
    </xdr:to>
    <xdr:sp macro="" textlink="">
      <xdr:nvSpPr>
        <xdr:cNvPr id="48" name="TextBox 47">
          <a:extLst>
            <a:ext uri="{FF2B5EF4-FFF2-40B4-BE49-F238E27FC236}">
              <a16:creationId xmlns:a16="http://schemas.microsoft.com/office/drawing/2014/main" id="{EF186EDE-EE57-CE1C-B770-A27F15A89A83}"/>
            </a:ext>
          </a:extLst>
        </xdr:cNvPr>
        <xdr:cNvSpPr txBox="1"/>
      </xdr:nvSpPr>
      <xdr:spPr>
        <a:xfrm>
          <a:off x="4895372" y="1248014"/>
          <a:ext cx="1393032" cy="154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aseline="0"/>
            <a:t>Patient Attend Status </a:t>
          </a:r>
          <a:endParaRPr lang="en-IN" sz="1200"/>
        </a:p>
      </xdr:txBody>
    </xdr:sp>
    <xdr:clientData/>
  </xdr:twoCellAnchor>
  <xdr:twoCellAnchor>
    <xdr:from>
      <xdr:col>9</xdr:col>
      <xdr:colOff>495539</xdr:colOff>
      <xdr:row>0</xdr:row>
      <xdr:rowOff>99298</xdr:rowOff>
    </xdr:from>
    <xdr:to>
      <xdr:col>14</xdr:col>
      <xdr:colOff>236220</xdr:colOff>
      <xdr:row>7</xdr:row>
      <xdr:rowOff>125254</xdr:rowOff>
    </xdr:to>
    <xdr:graphicFrame macro="">
      <xdr:nvGraphicFramePr>
        <xdr:cNvPr id="49" name="Chart 48">
          <a:extLst>
            <a:ext uri="{FF2B5EF4-FFF2-40B4-BE49-F238E27FC236}">
              <a16:creationId xmlns:a16="http://schemas.microsoft.com/office/drawing/2014/main" id="{1C26F731-CAFA-49ED-9E83-EB06A3E6E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10</xdr:col>
      <xdr:colOff>365043</xdr:colOff>
      <xdr:row>6</xdr:row>
      <xdr:rowOff>176451</xdr:rowOff>
    </xdr:from>
    <xdr:to>
      <xdr:col>12</xdr:col>
      <xdr:colOff>543638</xdr:colOff>
      <xdr:row>7</xdr:row>
      <xdr:rowOff>152639</xdr:rowOff>
    </xdr:to>
    <xdr:sp macro="" textlink="">
      <xdr:nvSpPr>
        <xdr:cNvPr id="50" name="TextBox 49">
          <a:extLst>
            <a:ext uri="{FF2B5EF4-FFF2-40B4-BE49-F238E27FC236}">
              <a16:creationId xmlns:a16="http://schemas.microsoft.com/office/drawing/2014/main" id="{464EF39D-A401-D268-D3C1-DA4E627584E1}"/>
            </a:ext>
          </a:extLst>
        </xdr:cNvPr>
        <xdr:cNvSpPr txBox="1"/>
      </xdr:nvSpPr>
      <xdr:spPr>
        <a:xfrm>
          <a:off x="6437231" y="1248014"/>
          <a:ext cx="1393032" cy="154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aseline="0"/>
            <a:t>Gender Wise Analysis</a:t>
          </a:r>
          <a:endParaRPr lang="en-IN" sz="1200"/>
        </a:p>
      </xdr:txBody>
    </xdr:sp>
    <xdr:clientData/>
  </xdr:twoCellAnchor>
  <xdr:twoCellAnchor>
    <xdr:from>
      <xdr:col>8</xdr:col>
      <xdr:colOff>27621</xdr:colOff>
      <xdr:row>9</xdr:row>
      <xdr:rowOff>42149</xdr:rowOff>
    </xdr:from>
    <xdr:to>
      <xdr:col>12</xdr:col>
      <xdr:colOff>398858</xdr:colOff>
      <xdr:row>22</xdr:row>
      <xdr:rowOff>39765</xdr:rowOff>
    </xdr:to>
    <xdr:graphicFrame macro="">
      <xdr:nvGraphicFramePr>
        <xdr:cNvPr id="51" name="Chart 50">
          <a:extLst>
            <a:ext uri="{FF2B5EF4-FFF2-40B4-BE49-F238E27FC236}">
              <a16:creationId xmlns:a16="http://schemas.microsoft.com/office/drawing/2014/main" id="{BE75F201-AB14-4BB9-BF4B-4576F1726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8</xdr:col>
      <xdr:colOff>269796</xdr:colOff>
      <xdr:row>21</xdr:row>
      <xdr:rowOff>150494</xdr:rowOff>
    </xdr:from>
    <xdr:to>
      <xdr:col>12</xdr:col>
      <xdr:colOff>293608</xdr:colOff>
      <xdr:row>23</xdr:row>
      <xdr:rowOff>105251</xdr:rowOff>
    </xdr:to>
    <xdr:sp macro="" textlink="">
      <xdr:nvSpPr>
        <xdr:cNvPr id="52" name="TextBox 51">
          <a:extLst>
            <a:ext uri="{FF2B5EF4-FFF2-40B4-BE49-F238E27FC236}">
              <a16:creationId xmlns:a16="http://schemas.microsoft.com/office/drawing/2014/main" id="{5B56E771-3F76-F811-6F8B-D539EBDBB158}"/>
            </a:ext>
          </a:extLst>
        </xdr:cNvPr>
        <xdr:cNvSpPr txBox="1"/>
      </xdr:nvSpPr>
      <xdr:spPr>
        <a:xfrm>
          <a:off x="5127546" y="3900963"/>
          <a:ext cx="2452687" cy="311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aseline="0"/>
            <a:t>No. of Patients by Department Referal</a:t>
          </a:r>
          <a:endParaRPr lang="en-IN" sz="1200"/>
        </a:p>
      </xdr:txBody>
    </xdr:sp>
    <xdr:clientData/>
  </xdr:twoCellAnchor>
  <xdr:twoCellAnchor editAs="oneCell">
    <xdr:from>
      <xdr:col>6</xdr:col>
      <xdr:colOff>52036</xdr:colOff>
      <xdr:row>0</xdr:row>
      <xdr:rowOff>142774</xdr:rowOff>
    </xdr:from>
    <xdr:to>
      <xdr:col>7</xdr:col>
      <xdr:colOff>377191</xdr:colOff>
      <xdr:row>4</xdr:row>
      <xdr:rowOff>60158</xdr:rowOff>
    </xdr:to>
    <mc:AlternateContent xmlns:mc="http://schemas.openxmlformats.org/markup-compatibility/2006">
      <mc:Choice xmlns:a14="http://schemas.microsoft.com/office/drawing/2010/main" Requires="a14">
        <xdr:graphicFrame macro="">
          <xdr:nvGraphicFramePr>
            <xdr:cNvPr id="53" name="Date (Year)">
              <a:extLst>
                <a:ext uri="{FF2B5EF4-FFF2-40B4-BE49-F238E27FC236}">
                  <a16:creationId xmlns:a16="http://schemas.microsoft.com/office/drawing/2014/main" id="{5BC15D5E-58D3-459D-B0DF-E550A89D0AC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725478" y="140869"/>
              <a:ext cx="932950" cy="637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2</xdr:row>
      <xdr:rowOff>154305</xdr:rowOff>
    </xdr:from>
    <xdr:to>
      <xdr:col>13</xdr:col>
      <xdr:colOff>455239</xdr:colOff>
      <xdr:row>24</xdr:row>
      <xdr:rowOff>129540</xdr:rowOff>
    </xdr:to>
    <xdr:graphicFrame macro="">
      <xdr:nvGraphicFramePr>
        <xdr:cNvPr id="2" name="Chart 1">
          <a:extLst>
            <a:ext uri="{FF2B5EF4-FFF2-40B4-BE49-F238E27FC236}">
              <a16:creationId xmlns:a16="http://schemas.microsoft.com/office/drawing/2014/main" id="{914CF719-42BD-4F82-AB82-C1EDC0349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224117</xdr:colOff>
      <xdr:row>26</xdr:row>
      <xdr:rowOff>14008</xdr:rowOff>
    </xdr:from>
    <xdr:to>
      <xdr:col>11</xdr:col>
      <xdr:colOff>329173</xdr:colOff>
      <xdr:row>27</xdr:row>
      <xdr:rowOff>105055</xdr:rowOff>
    </xdr:to>
    <xdr:sp macro="" textlink="">
      <xdr:nvSpPr>
        <xdr:cNvPr id="3" name="TextBox 2">
          <a:extLst>
            <a:ext uri="{FF2B5EF4-FFF2-40B4-BE49-F238E27FC236}">
              <a16:creationId xmlns:a16="http://schemas.microsoft.com/office/drawing/2014/main" id="{09476CFA-98F3-5BF6-7C16-F2F8824AAC1B}"/>
            </a:ext>
          </a:extLst>
        </xdr:cNvPr>
        <xdr:cNvSpPr txBox="1"/>
      </xdr:nvSpPr>
      <xdr:spPr>
        <a:xfrm>
          <a:off x="1442757" y="4748493"/>
          <a:ext cx="5588934" cy="27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Showing</a:t>
          </a:r>
          <a:r>
            <a:rPr lang="en-IN" sz="1100" baseline="0"/>
            <a:t> a daily trend with an area sparkline to spot patterns like busy days or seasonal trends.</a:t>
          </a:r>
          <a:endParaRPr lang="en-IN" sz="1100"/>
        </a:p>
      </xdr:txBody>
    </xdr:sp>
    <xdr:clientData/>
  </xdr:twoCellAnchor>
  <xdr:twoCellAnchor editAs="oneCell">
    <xdr:from>
      <xdr:col>0</xdr:col>
      <xdr:colOff>94242</xdr:colOff>
      <xdr:row>2</xdr:row>
      <xdr:rowOff>120968</xdr:rowOff>
    </xdr:from>
    <xdr:to>
      <xdr:col>1</xdr:col>
      <xdr:colOff>26894</xdr:colOff>
      <xdr:row>5</xdr:row>
      <xdr:rowOff>108249</xdr:rowOff>
    </xdr:to>
    <xdr:pic>
      <xdr:nvPicPr>
        <xdr:cNvPr id="5" name="Graphic 4" descr="Home">
          <a:hlinkClick xmlns:r="http://schemas.openxmlformats.org/officeDocument/2006/relationships" r:id="rId2"/>
          <a:extLst>
            <a:ext uri="{FF2B5EF4-FFF2-40B4-BE49-F238E27FC236}">
              <a16:creationId xmlns:a16="http://schemas.microsoft.com/office/drawing/2014/main" id="{AA8DC35D-56BD-96A3-DE26-CF259DAB25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242" y="485159"/>
          <a:ext cx="541972" cy="5335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46463</xdr:colOff>
      <xdr:row>0</xdr:row>
      <xdr:rowOff>0</xdr:rowOff>
    </xdr:from>
    <xdr:to>
      <xdr:col>21</xdr:col>
      <xdr:colOff>30851</xdr:colOff>
      <xdr:row>49</xdr:row>
      <xdr:rowOff>135395</xdr:rowOff>
    </xdr:to>
    <xdr:graphicFrame macro="">
      <xdr:nvGraphicFramePr>
        <xdr:cNvPr id="2" name="Chart 1">
          <a:extLst>
            <a:ext uri="{FF2B5EF4-FFF2-40B4-BE49-F238E27FC236}">
              <a16:creationId xmlns:a16="http://schemas.microsoft.com/office/drawing/2014/main" id="{59043952-FA57-42E9-8958-8280A6ECB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0.17879</cdr:x>
      <cdr:y>0.95519</cdr:y>
    </cdr:from>
    <cdr:to>
      <cdr:x>0.9398</cdr:x>
      <cdr:y>0.98032</cdr:y>
    </cdr:to>
    <cdr:sp macro="" textlink="">
      <cdr:nvSpPr>
        <cdr:cNvPr id="2" name="TextBox 1">
          <a:extLst xmlns:a="http://schemas.openxmlformats.org/drawingml/2006/main">
            <a:ext uri="{FF2B5EF4-FFF2-40B4-BE49-F238E27FC236}">
              <a16:creationId xmlns:a16="http://schemas.microsoft.com/office/drawing/2014/main" id="{31E9F467-23A8-B6DD-C32E-91C2EAD509E9}"/>
            </a:ext>
          </a:extLst>
        </cdr:cNvPr>
        <cdr:cNvSpPr txBox="1"/>
      </cdr:nvSpPr>
      <cdr:spPr>
        <a:xfrm xmlns:a="http://schemas.openxmlformats.org/drawingml/2006/main">
          <a:off x="2265091" y="8828049"/>
          <a:ext cx="9641159" cy="2323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kern="1200"/>
            <a:t>Use an area chart</a:t>
          </a:r>
          <a:r>
            <a:rPr lang="en-IN" sz="1400" kern="1200" baseline="0"/>
            <a:t> to track daily changes and highlight days with longer wait times that might need improvements</a:t>
          </a:r>
          <a:r>
            <a:rPr lang="en-IN" sz="1100" kern="1200" baseline="0"/>
            <a:t>.</a:t>
          </a:r>
          <a:endParaRPr lang="en-IN" sz="1100" kern="1200"/>
        </a:p>
      </cdr:txBody>
    </cdr:sp>
  </cdr:relSizeAnchor>
  <cdr:relSizeAnchor xmlns:cdr="http://schemas.openxmlformats.org/drawingml/2006/chartDrawing">
    <cdr:from>
      <cdr:x>0</cdr:x>
      <cdr:y>0</cdr:y>
    </cdr:from>
    <cdr:to>
      <cdr:x>0.06222</cdr:x>
      <cdr:y>0.08528</cdr:y>
    </cdr:to>
    <cdr:pic>
      <cdr:nvPicPr>
        <cdr:cNvPr id="4"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C0A6B90-DEEA-E6F1-E5BD-96860D08F7A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787973" cy="787885"/>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141981</xdr:colOff>
      <xdr:row>2</xdr:row>
      <xdr:rowOff>116632</xdr:rowOff>
    </xdr:from>
    <xdr:to>
      <xdr:col>19</xdr:col>
      <xdr:colOff>362496</xdr:colOff>
      <xdr:row>29</xdr:row>
      <xdr:rowOff>155509</xdr:rowOff>
    </xdr:to>
    <xdr:graphicFrame macro="">
      <xdr:nvGraphicFramePr>
        <xdr:cNvPr id="3" name="Chart 2">
          <a:extLst>
            <a:ext uri="{FF2B5EF4-FFF2-40B4-BE49-F238E27FC236}">
              <a16:creationId xmlns:a16="http://schemas.microsoft.com/office/drawing/2014/main" id="{E6DF99EF-8100-4E41-8C95-2F7079EB4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0</xdr:row>
      <xdr:rowOff>0</xdr:rowOff>
    </xdr:from>
    <xdr:to>
      <xdr:col>1</xdr:col>
      <xdr:colOff>116634</xdr:colOff>
      <xdr:row>3</xdr:row>
      <xdr:rowOff>168540</xdr:rowOff>
    </xdr:to>
    <xdr:pic>
      <xdr:nvPicPr>
        <xdr:cNvPr id="5" name="Graphic 4" descr="Home">
          <a:hlinkClick xmlns:r="http://schemas.openxmlformats.org/officeDocument/2006/relationships" r:id="rId2"/>
          <a:extLst>
            <a:ext uri="{FF2B5EF4-FFF2-40B4-BE49-F238E27FC236}">
              <a16:creationId xmlns:a16="http://schemas.microsoft.com/office/drawing/2014/main" id="{D08ED79D-C1BF-A25A-7ABA-427B5C079D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 y="0"/>
          <a:ext cx="728954" cy="7225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1018521" createdVersion="5" refreshedVersion="8" minRefreshableVersion="3" recordCount="0" supportSubquery="1" supportAdvancedDrill="1" xr:uid="{664B1E80-84CE-4062-A2AE-4C34DE087A4C}">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113426" createdVersion="5" refreshedVersion="8" minRefreshableVersion="3" recordCount="0" supportSubquery="1" supportAdvancedDrill="1" xr:uid="{D0CA50F9-FBB9-4047-902E-1DD98C121EE1}">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1481483" createdVersion="5" refreshedVersion="8" minRefreshableVersion="3" recordCount="0" supportSubquery="1" supportAdvancedDrill="1" xr:uid="{331B99E5-46DD-46DD-9539-481508C02969}">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1828707" createdVersion="5" refreshedVersion="8" minRefreshableVersion="3" recordCount="0" supportSubquery="1" supportAdvancedDrill="1" xr:uid="{5FC9B42A-F3A4-4D02-888C-A197464450B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1944445" createdVersion="5" refreshedVersion="8" minRefreshableVersion="3" recordCount="0" supportSubquery="1" supportAdvancedDrill="1" xr:uid="{25A8BF42-9794-4989-AC9E-7F2FC56C8AC2}">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2407407" createdVersion="5" refreshedVersion="8" minRefreshableVersion="3" recordCount="0" supportSubquery="1" supportAdvancedDrill="1" xr:uid="{BE4C06B5-9590-412D-BC55-2D9E2CB54DE3}">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2638892" createdVersion="5" refreshedVersion="8" minRefreshableVersion="3" recordCount="0" supportSubquery="1" supportAdvancedDrill="1" xr:uid="{88EF829C-769D-486F-AD3E-5416558077A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2870369" createdVersion="5" refreshedVersion="8" minRefreshableVersion="3" recordCount="0" supportSubquery="1" supportAdvancedDrill="1" xr:uid="{FEE5CDF8-7296-48B2-9775-C2F646B2AF83}">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3333331" createdVersion="5" refreshedVersion="8" minRefreshableVersion="3" recordCount="0" supportSubquery="1" supportAdvancedDrill="1" xr:uid="{8654FD0B-0949-432F-9FA3-3C8225650E6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3912039" createdVersion="5" refreshedVersion="8" minRefreshableVersion="3" recordCount="0" supportSubquery="1" supportAdvancedDrill="1" xr:uid="{DD337085-D2D6-4DE7-B5EC-9B7CB63548F9}">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4375001" createdVersion="5" refreshedVersion="8" minRefreshableVersion="3" recordCount="0" supportSubquery="1" supportAdvancedDrill="1" xr:uid="{4979B062-51EB-4750-80FE-9E31B7C03470}">
  <cacheSource type="external" connectionId="3"/>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4953701" createdVersion="5" refreshedVersion="8" minRefreshableVersion="3" recordCount="0" supportSubquery="1" supportAdvancedDrill="1" xr:uid="{BD6A9F2A-A53F-4AED-97A0-B2B97B8C31A1}">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4135416663" createdVersion="5" refreshedVersion="8" minRefreshableVersion="3" recordCount="0" supportSubquery="1" supportAdvancedDrill="1" xr:uid="{6E8C235D-28E8-4CAE-A6FA-C1F44FBAB8F0}">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109.120386458337" createdVersion="3" refreshedVersion="8" minRefreshableVersion="3" recordCount="0" supportSubquery="1" supportAdvancedDrill="1" xr:uid="{34BC2AC0-78C6-4376-8EDF-23A433AB1A81}">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932199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7851A-CC5C-4C00-A245-E3A4064862A1}" name="PivotTable14" cacheId="2206" applyNumberFormats="0" applyBorderFormats="0" applyFontFormats="0" applyPatternFormats="0" applyAlignmentFormats="0" applyWidthHeightFormats="1" dataCaption="Values" tag="457ce741-4d41-4cc3-8100-91119f7a1735" updatedVersion="8" minRefreshableVersion="3" subtotalHiddenItems="1" itemPrintTitles="1" createdVersion="5" indent="0" outline="1" outlineData="1" multipleFieldFilters="0" chartFormat="34">
  <location ref="A94:A9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9">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46753-7241-4794-A3AB-5D1FFB7CB48C}" name="PivotTable13" cacheId="2221" applyNumberFormats="0" applyBorderFormats="0" applyFontFormats="0" applyPatternFormats="0" applyAlignmentFormats="0" applyWidthHeightFormats="1" dataCaption="Values" tag="d7440116-51a5-4123-bf40-f97ddb9c7122" updatedVersion="8" minRefreshableVersion="3" subtotalHiddenItems="1" itemPrintTitles="1" createdVersion="5" indent="0" outline="1" outlineData="1" multipleFieldFilters="0" chartFormat="34">
  <location ref="G77:H86" firstHeaderRow="1" firstDataRow="1" firstDataCol="1"/>
  <pivotFields count="4">
    <pivotField allDrilled="1" subtotalTop="0" showAll="0" dataSourceSort="1" defaultSubtotal="0" defaultAttributeDrillState="1"/>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2">
    <format dxfId="121">
      <pivotArea outline="0" collapsedLevelsAreSubtotals="1" fieldPosition="0"/>
    </format>
    <format dxfId="120">
      <pivotArea collapsedLevelsAreSubtotals="1" fieldPosition="0">
        <references count="1">
          <reference field="1" count="0"/>
        </references>
      </pivotArea>
    </format>
  </formats>
  <chartFormats count="1">
    <chartFormat chart="3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A42F2-33D3-4AED-BDA6-A93FB1938221}" name="PivotTable12" cacheId="2218" applyNumberFormats="0" applyBorderFormats="0" applyFontFormats="0" applyPatternFormats="0" applyAlignmentFormats="0" applyWidthHeightFormats="1" dataCaption="Values" tag="1cc99269-6a23-4d4d-955c-1aa423426294" updatedVersion="8" minRefreshableVersion="3" subtotalHiddenItems="1" itemPrintTitles="1" createdVersion="5" indent="0" outline="1" outlineData="1" multipleFieldFilters="0" chartFormat="29">
  <location ref="C75:E92"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formats count="1">
    <format dxfId="122">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9B3F96-D196-42C4-A8A1-72A8A3F0E116}" name="PivotTable11" cacheId="2215" applyNumberFormats="0" applyBorderFormats="0" applyFontFormats="0" applyPatternFormats="0" applyAlignmentFormats="0" applyWidthHeightFormats="1" dataCaption="Values" tag="4d2327f0-223b-4c6e-90dd-10b59cbf4903" updatedVersion="8" minRefreshableVersion="3" subtotalHiddenItems="1" itemPrintTitles="1" createdVersion="5" indent="0" outline="1" outlineData="1" multipleFieldFilters="0" chartFormat="29">
  <location ref="G69:H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23">
      <pivotArea outline="0" collapsedLevelsAreSubtotals="1" fieldPosition="0"/>
    </format>
  </formats>
  <chartFormats count="3">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1F3B47-6090-4132-8FAE-1A63F7C3EF25}" name="PivotTable10" cacheId="2212" applyNumberFormats="0" applyBorderFormats="0" applyFontFormats="0" applyPatternFormats="0" applyAlignmentFormats="0" applyWidthHeightFormats="1" dataCaption="Values" tag="3268d2c2-3c70-439d-9dbd-2e9e39b346b8" updatedVersion="8" minRefreshableVersion="3" subtotalHiddenItems="1" itemPrintTitles="1" createdVersion="5" indent="0" outline="1" outlineData="1" multipleFieldFilters="0" chartFormat="24">
  <location ref="A69:B7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124">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2A1FC9-950C-42E2-BAE8-EF1F82921C32}" name="PivotTable8" cacheId="2242" applyNumberFormats="0" applyBorderFormats="0" applyFontFormats="0" applyPatternFormats="0" applyAlignmentFormats="0" applyWidthHeightFormats="1" dataCaption="Values" tag="2bae4a21-33b9-43a0-b848-4407cf20c021" updatedVersion="8" minRefreshableVersion="3" subtotalHiddenItems="1" itemPrintTitles="1" createdVersion="5" indent="0" outline="1" outlineData="1" multipleFieldFilters="0" chartFormat="17">
  <location ref="A57: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25">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4077BF-F2EE-40C6-A5F9-621E91FCC795}" name="PivotTable7" cacheId="2239" applyNumberFormats="0" applyBorderFormats="0" applyFontFormats="0" applyPatternFormats="0" applyAlignmentFormats="0" applyWidthHeightFormats="1" dataCaption="Values" tag="6722d663-0b2f-4bdd-b12d-79edc108865c" updatedVersion="8" minRefreshableVersion="3" subtotalHiddenItems="1" itemPrintTitles="1" createdVersion="5" indent="0" outline="1" outlineData="1" multipleFieldFilters="0" chartFormat="11">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26">
      <pivotArea outline="0" collapsedLevelsAreSubtotals="1" fieldPosition="0"/>
    </format>
    <format dxfId="127">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35DE68-78D7-4993-95D6-95CC417FD1C0}" name="PivotTable6" cacheId="2236" applyNumberFormats="0" applyBorderFormats="0" applyFontFormats="0" applyPatternFormats="0" applyAlignmentFormats="0" applyWidthHeightFormats="1" dataCaption="Values" tag="1e0585dd-9ff8-4f8f-bdf4-de19f09fa804" updatedVersion="8" minRefreshableVersion="3" subtotalHiddenItems="1" itemPrintTitles="1" createdVersion="5" indent="0" outline="1" outlineData="1" multipleFieldFilters="0" chartFormat="33">
  <location ref="L4:M35" firstHeaderRow="1" firstDataRow="1" firstDataCol="1"/>
  <pivotFields count="4">
    <pivotField axis="axisRow" allDrilled="1" subtotalTop="0" showAll="0" sortType="ascending" defaultSubtotal="0" defaultAttributeDrillState="1">
      <items count="30">
        <item x="9"/>
        <item x="10"/>
        <item x="11"/>
        <item x="12"/>
        <item x="13"/>
        <item x="14"/>
        <item x="15"/>
        <item x="16"/>
        <item x="17"/>
        <item x="0"/>
        <item x="18"/>
        <item x="19"/>
        <item x="20"/>
        <item x="21"/>
        <item x="22"/>
        <item x="23"/>
        <item x="24"/>
        <item x="25"/>
        <item x="26"/>
        <item x="27"/>
        <item x="1"/>
        <item x="28"/>
        <item x="29"/>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28">
      <pivotArea outline="0" collapsedLevelsAreSubtotals="1" fieldPosition="0"/>
    </format>
  </formats>
  <chartFormats count="2">
    <chartFormat chart="26"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9B26D4-32B5-4CE7-8F24-94D1B62A97D7}" name="PivotTable5" cacheId="2233" applyNumberFormats="0" applyBorderFormats="0" applyFontFormats="0" applyPatternFormats="0" applyAlignmentFormats="0" applyWidthHeightFormats="1" dataCaption="Values" tag="fa220836-7928-403e-b459-ba1a3b0101ac" updatedVersion="8" minRefreshableVersion="3" subtotalHiddenItems="1" itemPrintTitles="1" createdVersion="5" indent="0" outline="1" outlineData="1" multipleFieldFilters="0" chartFormat="25">
  <location ref="H4:I36" firstHeaderRow="1" firstDataRow="1" firstDataCol="1"/>
  <pivotFields count="4">
    <pivotField axis="axisRow" allDrilled="1" subtotalTop="0" showAll="0" sortType="ascending" defaultSubtotal="0" defaultAttributeDrillState="1">
      <items count="31">
        <item x="9"/>
        <item x="10"/>
        <item x="11"/>
        <item x="12"/>
        <item x="13"/>
        <item x="14"/>
        <item x="15"/>
        <item x="16"/>
        <item x="17"/>
        <item x="18"/>
        <item x="0"/>
        <item x="19"/>
        <item x="20"/>
        <item x="21"/>
        <item x="22"/>
        <item x="23"/>
        <item x="24"/>
        <item x="25"/>
        <item x="26"/>
        <item x="27"/>
        <item x="28"/>
        <item x="1"/>
        <item x="29"/>
        <item x="30"/>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29">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273568-43CA-41D7-BE11-6A4DC15B6724}" name="PivotTable4" cacheId="2230" applyNumberFormats="0" applyBorderFormats="0" applyFontFormats="0" applyPatternFormats="0" applyAlignmentFormats="0" applyWidthHeightFormats="1" dataCaption="Values" tag="d8a7c6e1-e8d1-48c5-b090-f2a1f302919e" updatedVersion="8" minRefreshableVersion="3" subtotalHiddenItems="1" itemPrintTitles="1" createdVersion="5" indent="0" outline="1" outlineData="1" multipleFieldFilters="0" chartFormat="15">
  <location ref="D4:E36" firstHeaderRow="1" firstDataRow="1" firstDataCol="1"/>
  <pivotFields count="4">
    <pivotField dataField="1" subtotalTop="0" showAll="0" defaultSubtotal="0"/>
    <pivotField axis="axisRow" allDrilled="1" subtotalTop="0" showAll="0" sortType="descending" defaultSubtotal="0" defaultAttributeDrillState="1">
      <items count="31">
        <item x="8"/>
        <item x="7"/>
        <item x="6"/>
        <item x="5"/>
        <item x="4"/>
        <item x="3"/>
        <item x="2"/>
        <item x="30"/>
        <item x="29"/>
        <item x="1"/>
        <item x="28"/>
        <item x="27"/>
        <item x="26"/>
        <item x="25"/>
        <item x="24"/>
        <item x="23"/>
        <item x="22"/>
        <item x="21"/>
        <item x="20"/>
        <item x="19"/>
        <item x="0"/>
        <item x="18"/>
        <item x="17"/>
        <item x="16"/>
        <item x="15"/>
        <item x="14"/>
        <item x="13"/>
        <item x="12"/>
        <item x="11"/>
        <item x="10"/>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90D64A-77BC-4A05-9A16-9F937564C033}" name="PivotTable3" cacheId="2227" applyNumberFormats="0" applyBorderFormats="0" applyFontFormats="0" applyPatternFormats="0" applyAlignmentFormats="0" applyWidthHeightFormats="1" dataCaption="Values" tag="15bb1889-f0d7-422c-890b-0ca5b5fd7dc8"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30">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A18E27-B2DF-4966-8089-017F87E6A4F5}" name="PivotTable2" cacheId="2224" applyNumberFormats="0" applyBorderFormats="0" applyFontFormats="0" applyPatternFormats="0" applyAlignmentFormats="0" applyWidthHeightFormats="1" dataCaption="Values" tag="6cf0dcf0-0623-43e7-a038-f890e2a4db5f"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1">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56F44B-CD74-424C-8DC9-9E49F259E972}" name="PivotTable1" cacheId="2209" applyNumberFormats="0" applyBorderFormats="0" applyFontFormats="0" applyPatternFormats="0" applyAlignmentFormats="0" applyWidthHeightFormats="1" dataCaption="Values" tag="fd43d69e-91c4-47e7-86b4-036661d6e525"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2DC46C2-B317-4B6D-93FA-B6693ED7698B}"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0"/>
    <pivotTable tabId="1" name="PivotTable11"/>
    <pivotTable tabId="1" name="PivotTable12"/>
    <pivotTable tabId="1" name="PivotTable13"/>
    <pivotTable tabId="1" name="PivotTable14"/>
  </pivotTables>
  <data>
    <olap pivotCacheId="1793219919">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801A312-5081-4E26-9DD5-133571572051}" sourceName="[Calenda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s>
  <data>
    <olap pivotCacheId="179321991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C439978-6844-45B9-895A-D4A44C9F3434}" cache="Slicer_Date__Month" caption="Date (Month)" showCaption="0" level="1" style="My style" rowHeight="252000"/>
  <slicer name="Date (Year)" xr10:uid="{36430E98-A2CA-4623-BB0F-6018E4777218}" cache="Slicer_Date__Year" caption="Date (Year)"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53B6C-B26E-4E62-986A-527D045520B5}">
  <dimension ref="A3:M96"/>
  <sheetViews>
    <sheetView topLeftCell="A62" workbookViewId="0">
      <selection activeCell="A94" sqref="A94"/>
    </sheetView>
  </sheetViews>
  <sheetFormatPr defaultRowHeight="14.4" x14ac:dyDescent="0.3"/>
  <cols>
    <col min="1" max="1" width="16.5546875" customWidth="1"/>
    <col min="2" max="2" width="17.33203125" customWidth="1"/>
    <col min="3" max="3" width="13" customWidth="1"/>
    <col min="4" max="4" width="35.21875" customWidth="1"/>
    <col min="5" max="5" width="8.88671875" customWidth="1"/>
    <col min="7" max="7" width="15.33203125" customWidth="1"/>
    <col min="8" max="8" width="16.88671875" customWidth="1"/>
    <col min="11" max="11" width="12.44140625" customWidth="1"/>
    <col min="13" max="13" width="14" customWidth="1"/>
  </cols>
  <sheetData>
    <row r="3" spans="1:13" x14ac:dyDescent="0.3">
      <c r="A3" t="s">
        <v>2</v>
      </c>
      <c r="D3" t="s">
        <v>55</v>
      </c>
      <c r="H3" t="s">
        <v>56</v>
      </c>
      <c r="L3" t="s">
        <v>57</v>
      </c>
    </row>
    <row r="4" spans="1:13" x14ac:dyDescent="0.3">
      <c r="A4" t="s">
        <v>1</v>
      </c>
      <c r="D4" s="6" t="s">
        <v>22</v>
      </c>
      <c r="E4" t="s">
        <v>1</v>
      </c>
      <c r="H4" s="6" t="s">
        <v>22</v>
      </c>
      <c r="I4" t="s">
        <v>3</v>
      </c>
      <c r="L4" s="6" t="s">
        <v>22</v>
      </c>
      <c r="M4" t="s">
        <v>19</v>
      </c>
    </row>
    <row r="5" spans="1:13" x14ac:dyDescent="0.3">
      <c r="A5" s="4">
        <v>480</v>
      </c>
      <c r="D5" s="9" t="s">
        <v>31</v>
      </c>
      <c r="E5" s="4">
        <v>20</v>
      </c>
      <c r="H5" s="9" t="s">
        <v>32</v>
      </c>
      <c r="I5" s="7">
        <v>30.692307692307693</v>
      </c>
      <c r="L5" s="9" t="s">
        <v>32</v>
      </c>
      <c r="M5" s="7">
        <v>5.333333333333333</v>
      </c>
    </row>
    <row r="6" spans="1:13" x14ac:dyDescent="0.3">
      <c r="D6" s="9" t="s">
        <v>30</v>
      </c>
      <c r="E6" s="4">
        <v>20</v>
      </c>
      <c r="H6" s="9" t="s">
        <v>33</v>
      </c>
      <c r="I6" s="7">
        <v>33.611111111111114</v>
      </c>
      <c r="L6" s="9" t="s">
        <v>33</v>
      </c>
      <c r="M6" s="7">
        <v>4.4000000000000004</v>
      </c>
    </row>
    <row r="7" spans="1:13" x14ac:dyDescent="0.3">
      <c r="D7" s="9" t="s">
        <v>29</v>
      </c>
      <c r="E7" s="4">
        <v>15</v>
      </c>
      <c r="H7" s="9" t="s">
        <v>34</v>
      </c>
      <c r="I7" s="7">
        <v>37.81818181818182</v>
      </c>
      <c r="L7" s="9" t="s">
        <v>34</v>
      </c>
      <c r="M7" s="7">
        <v>3.25</v>
      </c>
    </row>
    <row r="8" spans="1:13" x14ac:dyDescent="0.3">
      <c r="A8" t="s">
        <v>3</v>
      </c>
      <c r="D8" s="9" t="s">
        <v>28</v>
      </c>
      <c r="E8" s="4">
        <v>16</v>
      </c>
      <c r="H8" s="9" t="s">
        <v>35</v>
      </c>
      <c r="I8" s="7">
        <v>40</v>
      </c>
      <c r="L8" s="9" t="s">
        <v>35</v>
      </c>
      <c r="M8" s="7">
        <v>6</v>
      </c>
    </row>
    <row r="9" spans="1:13" x14ac:dyDescent="0.3">
      <c r="A9" s="7">
        <v>34.429166666666667</v>
      </c>
      <c r="D9" s="9" t="s">
        <v>27</v>
      </c>
      <c r="E9" s="4">
        <v>18</v>
      </c>
      <c r="H9" s="9" t="s">
        <v>36</v>
      </c>
      <c r="I9" s="7">
        <v>32</v>
      </c>
      <c r="L9" s="9" t="s">
        <v>36</v>
      </c>
      <c r="M9" s="7">
        <v>3.3333333333333335</v>
      </c>
    </row>
    <row r="10" spans="1:13" x14ac:dyDescent="0.3">
      <c r="D10" s="9" t="s">
        <v>26</v>
      </c>
      <c r="E10" s="4">
        <v>16</v>
      </c>
      <c r="H10" s="9" t="s">
        <v>37</v>
      </c>
      <c r="I10" s="7">
        <v>31.857142857142858</v>
      </c>
      <c r="L10" s="9" t="s">
        <v>38</v>
      </c>
      <c r="M10" s="7">
        <v>6.7</v>
      </c>
    </row>
    <row r="11" spans="1:13" x14ac:dyDescent="0.3">
      <c r="A11" t="s">
        <v>19</v>
      </c>
      <c r="D11" s="9" t="s">
        <v>25</v>
      </c>
      <c r="E11" s="4">
        <v>20</v>
      </c>
      <c r="H11" s="9" t="s">
        <v>38</v>
      </c>
      <c r="I11" s="7">
        <v>31.142857142857142</v>
      </c>
      <c r="L11" s="9" t="s">
        <v>39</v>
      </c>
      <c r="M11" s="7">
        <v>7.75</v>
      </c>
    </row>
    <row r="12" spans="1:13" x14ac:dyDescent="0.3">
      <c r="A12" s="7">
        <v>5.1640625</v>
      </c>
      <c r="D12" s="9" t="s">
        <v>53</v>
      </c>
      <c r="E12" s="4">
        <v>11</v>
      </c>
      <c r="H12" s="9" t="s">
        <v>39</v>
      </c>
      <c r="I12" s="7">
        <v>29.5</v>
      </c>
      <c r="L12" s="9" t="s">
        <v>40</v>
      </c>
      <c r="M12" s="7">
        <v>5.5</v>
      </c>
    </row>
    <row r="13" spans="1:13" x14ac:dyDescent="0.3">
      <c r="D13" s="9" t="s">
        <v>52</v>
      </c>
      <c r="E13" s="4">
        <v>24</v>
      </c>
      <c r="H13" s="9" t="s">
        <v>40</v>
      </c>
      <c r="I13" s="7">
        <v>30.666666666666668</v>
      </c>
      <c r="L13" s="9" t="s">
        <v>41</v>
      </c>
      <c r="M13" s="7">
        <v>4.5</v>
      </c>
    </row>
    <row r="14" spans="1:13" x14ac:dyDescent="0.3">
      <c r="D14" s="9" t="s">
        <v>24</v>
      </c>
      <c r="E14" s="4">
        <v>16</v>
      </c>
      <c r="H14" s="9" t="s">
        <v>41</v>
      </c>
      <c r="I14" s="7">
        <v>39.06666666666667</v>
      </c>
      <c r="L14" s="9" t="s">
        <v>23</v>
      </c>
      <c r="M14" s="7">
        <v>5.5</v>
      </c>
    </row>
    <row r="15" spans="1:13" x14ac:dyDescent="0.3">
      <c r="D15" s="9" t="s">
        <v>51</v>
      </c>
      <c r="E15" s="4">
        <v>15</v>
      </c>
      <c r="H15" s="9" t="s">
        <v>23</v>
      </c>
      <c r="I15" s="7">
        <v>31.5</v>
      </c>
      <c r="L15" s="9" t="s">
        <v>42</v>
      </c>
      <c r="M15" s="7">
        <v>6</v>
      </c>
    </row>
    <row r="16" spans="1:13" x14ac:dyDescent="0.3">
      <c r="D16" s="9" t="s">
        <v>50</v>
      </c>
      <c r="E16" s="4">
        <v>10</v>
      </c>
      <c r="H16" s="9" t="s">
        <v>42</v>
      </c>
      <c r="I16" s="7">
        <v>32.857142857142854</v>
      </c>
      <c r="L16" s="9" t="s">
        <v>43</v>
      </c>
      <c r="M16" s="7">
        <v>5.75</v>
      </c>
    </row>
    <row r="17" spans="4:13" x14ac:dyDescent="0.3">
      <c r="D17" s="9" t="s">
        <v>49</v>
      </c>
      <c r="E17" s="4">
        <v>14</v>
      </c>
      <c r="H17" s="9" t="s">
        <v>43</v>
      </c>
      <c r="I17" s="7">
        <v>38.3125</v>
      </c>
      <c r="L17" s="9" t="s">
        <v>44</v>
      </c>
      <c r="M17" s="7">
        <v>3.1428571428571428</v>
      </c>
    </row>
    <row r="18" spans="4:13" x14ac:dyDescent="0.3">
      <c r="D18" s="9" t="s">
        <v>48</v>
      </c>
      <c r="E18" s="4">
        <v>11</v>
      </c>
      <c r="H18" s="9" t="s">
        <v>44</v>
      </c>
      <c r="I18" s="7">
        <v>35.80952380952381</v>
      </c>
      <c r="L18" s="9" t="s">
        <v>45</v>
      </c>
      <c r="M18" s="7">
        <v>4</v>
      </c>
    </row>
    <row r="19" spans="4:13" x14ac:dyDescent="0.3">
      <c r="D19" s="9" t="s">
        <v>47</v>
      </c>
      <c r="E19" s="4">
        <v>16</v>
      </c>
      <c r="H19" s="9" t="s">
        <v>45</v>
      </c>
      <c r="I19" s="7">
        <v>33.153846153846153</v>
      </c>
      <c r="L19" s="9" t="s">
        <v>46</v>
      </c>
      <c r="M19" s="7">
        <v>6.5</v>
      </c>
    </row>
    <row r="20" spans="4:13" x14ac:dyDescent="0.3">
      <c r="D20" s="9" t="s">
        <v>46</v>
      </c>
      <c r="E20" s="4">
        <v>11</v>
      </c>
      <c r="H20" s="9" t="s">
        <v>46</v>
      </c>
      <c r="I20" s="7">
        <v>39.18181818181818</v>
      </c>
      <c r="L20" s="9" t="s">
        <v>47</v>
      </c>
      <c r="M20" s="7">
        <v>4</v>
      </c>
    </row>
    <row r="21" spans="4:13" x14ac:dyDescent="0.3">
      <c r="D21" s="9" t="s">
        <v>45</v>
      </c>
      <c r="E21" s="4">
        <v>13</v>
      </c>
      <c r="H21" s="9" t="s">
        <v>47</v>
      </c>
      <c r="I21" s="7">
        <v>36.3125</v>
      </c>
      <c r="L21" s="9" t="s">
        <v>48</v>
      </c>
      <c r="M21" s="7">
        <v>7.333333333333333</v>
      </c>
    </row>
    <row r="22" spans="4:13" x14ac:dyDescent="0.3">
      <c r="D22" s="9" t="s">
        <v>44</v>
      </c>
      <c r="E22" s="4">
        <v>21</v>
      </c>
      <c r="H22" s="9" t="s">
        <v>48</v>
      </c>
      <c r="I22" s="7">
        <v>33</v>
      </c>
      <c r="L22" s="9" t="s">
        <v>49</v>
      </c>
      <c r="M22" s="7">
        <v>5.333333333333333</v>
      </c>
    </row>
    <row r="23" spans="4:13" x14ac:dyDescent="0.3">
      <c r="D23" s="9" t="s">
        <v>43</v>
      </c>
      <c r="E23" s="4">
        <v>16</v>
      </c>
      <c r="H23" s="9" t="s">
        <v>49</v>
      </c>
      <c r="I23" s="7">
        <v>32.857142857142854</v>
      </c>
      <c r="L23" s="9" t="s">
        <v>50</v>
      </c>
      <c r="M23" s="7">
        <v>4.75</v>
      </c>
    </row>
    <row r="24" spans="4:13" x14ac:dyDescent="0.3">
      <c r="D24" s="9" t="s">
        <v>42</v>
      </c>
      <c r="E24" s="4">
        <v>14</v>
      </c>
      <c r="H24" s="9" t="s">
        <v>50</v>
      </c>
      <c r="I24" s="7">
        <v>36.799999999999997</v>
      </c>
      <c r="L24" s="9" t="s">
        <v>51</v>
      </c>
      <c r="M24" s="7">
        <v>4</v>
      </c>
    </row>
    <row r="25" spans="4:13" x14ac:dyDescent="0.3">
      <c r="D25" s="9" t="s">
        <v>23</v>
      </c>
      <c r="E25" s="4">
        <v>20</v>
      </c>
      <c r="H25" s="9" t="s">
        <v>51</v>
      </c>
      <c r="I25" s="7">
        <v>32.866666666666667</v>
      </c>
      <c r="L25" s="9" t="s">
        <v>24</v>
      </c>
      <c r="M25" s="7">
        <v>3.3333333333333335</v>
      </c>
    </row>
    <row r="26" spans="4:13" x14ac:dyDescent="0.3">
      <c r="D26" s="9" t="s">
        <v>41</v>
      </c>
      <c r="E26" s="4">
        <v>15</v>
      </c>
      <c r="H26" s="9" t="s">
        <v>24</v>
      </c>
      <c r="I26" s="7">
        <v>34.25</v>
      </c>
      <c r="L26" s="9" t="s">
        <v>52</v>
      </c>
      <c r="M26" s="7">
        <v>4</v>
      </c>
    </row>
    <row r="27" spans="4:13" x14ac:dyDescent="0.3">
      <c r="D27" s="9" t="s">
        <v>40</v>
      </c>
      <c r="E27" s="4">
        <v>15</v>
      </c>
      <c r="H27" s="9" t="s">
        <v>52</v>
      </c>
      <c r="I27" s="7">
        <v>32.375</v>
      </c>
      <c r="K27" t="s">
        <v>54</v>
      </c>
      <c r="L27" s="9" t="s">
        <v>53</v>
      </c>
      <c r="M27" s="7">
        <v>8.3333333333333339</v>
      </c>
    </row>
    <row r="28" spans="4:13" x14ac:dyDescent="0.3">
      <c r="D28" s="9" t="s">
        <v>39</v>
      </c>
      <c r="E28" s="4">
        <v>16</v>
      </c>
      <c r="H28" s="9" t="s">
        <v>53</v>
      </c>
      <c r="I28" s="7">
        <v>36</v>
      </c>
      <c r="L28" s="9" t="s">
        <v>25</v>
      </c>
      <c r="M28" s="7">
        <v>6</v>
      </c>
    </row>
    <row r="29" spans="4:13" x14ac:dyDescent="0.3">
      <c r="D29" s="9" t="s">
        <v>38</v>
      </c>
      <c r="E29" s="4">
        <v>21</v>
      </c>
      <c r="H29" s="9" t="s">
        <v>25</v>
      </c>
      <c r="I29" s="7">
        <v>41.1</v>
      </c>
      <c r="L29" s="9" t="s">
        <v>26</v>
      </c>
      <c r="M29" s="7">
        <v>4.8</v>
      </c>
    </row>
    <row r="30" spans="4:13" x14ac:dyDescent="0.3">
      <c r="D30" s="9" t="s">
        <v>37</v>
      </c>
      <c r="E30" s="4">
        <v>7</v>
      </c>
      <c r="H30" s="9" t="s">
        <v>26</v>
      </c>
      <c r="I30" s="7">
        <v>31</v>
      </c>
      <c r="L30" s="9" t="s">
        <v>27</v>
      </c>
      <c r="M30" s="7">
        <v>5.5</v>
      </c>
    </row>
    <row r="31" spans="4:13" x14ac:dyDescent="0.3">
      <c r="D31" s="9" t="s">
        <v>36</v>
      </c>
      <c r="E31" s="4">
        <v>14</v>
      </c>
      <c r="H31" s="9" t="s">
        <v>27</v>
      </c>
      <c r="I31" s="7">
        <v>33.666666666666664</v>
      </c>
      <c r="L31" s="9" t="s">
        <v>28</v>
      </c>
      <c r="M31" s="7">
        <v>5.25</v>
      </c>
    </row>
    <row r="32" spans="4:13" x14ac:dyDescent="0.3">
      <c r="D32" s="9" t="s">
        <v>35</v>
      </c>
      <c r="E32" s="4">
        <v>13</v>
      </c>
      <c r="H32" s="9" t="s">
        <v>28</v>
      </c>
      <c r="I32" s="7">
        <v>34.5625</v>
      </c>
      <c r="L32" s="9" t="s">
        <v>29</v>
      </c>
      <c r="M32" s="7">
        <v>4.8</v>
      </c>
    </row>
    <row r="33" spans="1:13" x14ac:dyDescent="0.3">
      <c r="D33" s="9" t="s">
        <v>34</v>
      </c>
      <c r="E33" s="4">
        <v>11</v>
      </c>
      <c r="H33" s="9" t="s">
        <v>29</v>
      </c>
      <c r="I33" s="7">
        <v>34.93333333333333</v>
      </c>
      <c r="L33" s="9" t="s">
        <v>30</v>
      </c>
      <c r="M33" s="7">
        <v>4.5</v>
      </c>
    </row>
    <row r="34" spans="1:13" x14ac:dyDescent="0.3">
      <c r="D34" s="9" t="s">
        <v>33</v>
      </c>
      <c r="E34" s="4">
        <v>18</v>
      </c>
      <c r="H34" s="9" t="s">
        <v>30</v>
      </c>
      <c r="I34" s="7">
        <v>36.4</v>
      </c>
      <c r="L34" s="9" t="s">
        <v>31</v>
      </c>
      <c r="M34" s="7">
        <v>5</v>
      </c>
    </row>
    <row r="35" spans="1:13" x14ac:dyDescent="0.3">
      <c r="D35" s="9" t="s">
        <v>32</v>
      </c>
      <c r="E35" s="4">
        <v>13</v>
      </c>
      <c r="H35" s="9" t="s">
        <v>31</v>
      </c>
      <c r="I35" s="7">
        <v>35.549999999999997</v>
      </c>
      <c r="L35" s="9" t="s">
        <v>20</v>
      </c>
      <c r="M35" s="7">
        <v>5.1640625</v>
      </c>
    </row>
    <row r="36" spans="1:13" x14ac:dyDescent="0.3">
      <c r="D36" s="9" t="s">
        <v>20</v>
      </c>
      <c r="E36" s="4">
        <v>480</v>
      </c>
      <c r="H36" s="9" t="s">
        <v>20</v>
      </c>
      <c r="I36" s="7">
        <v>34.429166666666667</v>
      </c>
    </row>
    <row r="39" spans="1:13" x14ac:dyDescent="0.3">
      <c r="A39" s="6" t="s">
        <v>22</v>
      </c>
      <c r="B39" t="s">
        <v>58</v>
      </c>
      <c r="C39" t="s">
        <v>59</v>
      </c>
    </row>
    <row r="40" spans="1:13" x14ac:dyDescent="0.3">
      <c r="A40" s="9" t="s">
        <v>6</v>
      </c>
      <c r="B40" s="7">
        <v>229</v>
      </c>
      <c r="C40" s="11">
        <v>0.47708333333333336</v>
      </c>
    </row>
    <row r="41" spans="1:13" x14ac:dyDescent="0.3">
      <c r="A41" s="9" t="s">
        <v>18</v>
      </c>
      <c r="B41" s="7">
        <v>251</v>
      </c>
      <c r="C41" s="11">
        <v>0.5229166666666667</v>
      </c>
    </row>
    <row r="42" spans="1:13" x14ac:dyDescent="0.3">
      <c r="A42" s="9" t="s">
        <v>20</v>
      </c>
      <c r="B42" s="7">
        <v>480</v>
      </c>
      <c r="C42" s="11">
        <v>1</v>
      </c>
    </row>
    <row r="48" spans="1:13" x14ac:dyDescent="0.3">
      <c r="A48" s="5"/>
    </row>
    <row r="50" spans="1:4" x14ac:dyDescent="0.3">
      <c r="A50" s="15" t="s">
        <v>60</v>
      </c>
      <c r="B50" s="15" t="s">
        <v>62</v>
      </c>
      <c r="C50" s="15" t="s">
        <v>61</v>
      </c>
      <c r="D50" s="14"/>
    </row>
    <row r="51" spans="1:4" ht="25.2" customHeight="1" x14ac:dyDescent="0.3">
      <c r="A51" s="16" t="str">
        <f>A41</f>
        <v>Not Admitted</v>
      </c>
      <c r="B51" s="16">
        <f>B41</f>
        <v>251</v>
      </c>
      <c r="C51" s="17">
        <f>C41</f>
        <v>0.5229166666666667</v>
      </c>
      <c r="D51" s="13"/>
    </row>
    <row r="52" spans="1:4" ht="31.2" customHeight="1" x14ac:dyDescent="0.3">
      <c r="A52" s="16" t="str">
        <f>A40</f>
        <v>Admitted</v>
      </c>
      <c r="B52" s="16">
        <f>B40</f>
        <v>229</v>
      </c>
      <c r="C52" s="17">
        <f>C40</f>
        <v>0.47708333333333336</v>
      </c>
      <c r="D52" s="13"/>
    </row>
    <row r="53" spans="1:4" x14ac:dyDescent="0.3">
      <c r="C53" s="12"/>
    </row>
    <row r="56" spans="1:4" x14ac:dyDescent="0.3">
      <c r="A56" t="s">
        <v>64</v>
      </c>
    </row>
    <row r="57" spans="1:4" x14ac:dyDescent="0.3">
      <c r="A57" s="6" t="s">
        <v>22</v>
      </c>
      <c r="B57" t="s">
        <v>63</v>
      </c>
    </row>
    <row r="58" spans="1:4" x14ac:dyDescent="0.3">
      <c r="A58" s="9" t="s">
        <v>14</v>
      </c>
      <c r="B58" s="18">
        <v>63</v>
      </c>
    </row>
    <row r="59" spans="1:4" x14ac:dyDescent="0.3">
      <c r="A59" s="9" t="s">
        <v>9</v>
      </c>
      <c r="B59" s="18">
        <v>49</v>
      </c>
    </row>
    <row r="60" spans="1:4" x14ac:dyDescent="0.3">
      <c r="A60" s="9" t="s">
        <v>15</v>
      </c>
      <c r="B60" s="18">
        <v>57</v>
      </c>
    </row>
    <row r="61" spans="1:4" x14ac:dyDescent="0.3">
      <c r="A61" s="9" t="s">
        <v>16</v>
      </c>
      <c r="B61" s="18">
        <v>73</v>
      </c>
    </row>
    <row r="62" spans="1:4" x14ac:dyDescent="0.3">
      <c r="A62" s="9" t="s">
        <v>12</v>
      </c>
      <c r="B62" s="18">
        <v>63</v>
      </c>
    </row>
    <row r="63" spans="1:4" x14ac:dyDescent="0.3">
      <c r="A63" s="9" t="s">
        <v>13</v>
      </c>
      <c r="B63" s="18">
        <v>60</v>
      </c>
    </row>
    <row r="64" spans="1:4" x14ac:dyDescent="0.3">
      <c r="A64" s="9" t="s">
        <v>7</v>
      </c>
      <c r="B64" s="18">
        <v>57</v>
      </c>
    </row>
    <row r="65" spans="1:8" x14ac:dyDescent="0.3">
      <c r="A65" s="9" t="s">
        <v>11</v>
      </c>
      <c r="B65" s="18">
        <v>58</v>
      </c>
    </row>
    <row r="66" spans="1:8" x14ac:dyDescent="0.3">
      <c r="A66" s="9" t="s">
        <v>20</v>
      </c>
      <c r="B66" s="18">
        <v>480</v>
      </c>
    </row>
    <row r="68" spans="1:8" x14ac:dyDescent="0.3">
      <c r="A68" s="9" t="s">
        <v>65</v>
      </c>
      <c r="G68" t="s">
        <v>67</v>
      </c>
    </row>
    <row r="69" spans="1:8" x14ac:dyDescent="0.3">
      <c r="A69" s="6" t="s">
        <v>22</v>
      </c>
      <c r="B69" t="s">
        <v>0</v>
      </c>
      <c r="G69" s="6" t="s">
        <v>22</v>
      </c>
      <c r="H69" t="s">
        <v>66</v>
      </c>
    </row>
    <row r="70" spans="1:8" x14ac:dyDescent="0.3">
      <c r="A70" s="9" t="s">
        <v>10</v>
      </c>
      <c r="B70" s="18">
        <v>267</v>
      </c>
      <c r="G70" s="9" t="s">
        <v>17</v>
      </c>
      <c r="H70" s="18">
        <v>261</v>
      </c>
    </row>
    <row r="71" spans="1:8" x14ac:dyDescent="0.3">
      <c r="A71" s="9" t="s">
        <v>8</v>
      </c>
      <c r="B71" s="18">
        <v>213</v>
      </c>
      <c r="G71" s="9" t="s">
        <v>4</v>
      </c>
      <c r="H71" s="18">
        <v>219</v>
      </c>
    </row>
    <row r="72" spans="1:8" x14ac:dyDescent="0.3">
      <c r="A72" s="9" t="s">
        <v>20</v>
      </c>
      <c r="B72" s="18">
        <v>480</v>
      </c>
      <c r="G72" s="9" t="s">
        <v>20</v>
      </c>
      <c r="H72" s="18">
        <v>480</v>
      </c>
    </row>
    <row r="75" spans="1:8" x14ac:dyDescent="0.3">
      <c r="C75" s="1"/>
      <c r="D75" s="2"/>
      <c r="E75" s="3"/>
    </row>
    <row r="76" spans="1:8" x14ac:dyDescent="0.3">
      <c r="C76" s="19"/>
      <c r="D76" s="20"/>
      <c r="E76" s="21"/>
    </row>
    <row r="77" spans="1:8" x14ac:dyDescent="0.3">
      <c r="C77" s="19"/>
      <c r="D77" s="20"/>
      <c r="E77" s="21"/>
      <c r="G77" s="6" t="s">
        <v>22</v>
      </c>
      <c r="H77" t="s">
        <v>75</v>
      </c>
    </row>
    <row r="78" spans="1:8" x14ac:dyDescent="0.3">
      <c r="C78" s="19"/>
      <c r="D78" s="20"/>
      <c r="E78" s="21"/>
      <c r="G78" s="9" t="s">
        <v>74</v>
      </c>
      <c r="H78" s="18">
        <v>6</v>
      </c>
    </row>
    <row r="79" spans="1:8" x14ac:dyDescent="0.3">
      <c r="C79" s="19"/>
      <c r="D79" s="20"/>
      <c r="E79" s="21"/>
      <c r="G79" s="9" t="s">
        <v>71</v>
      </c>
      <c r="H79" s="18">
        <v>11</v>
      </c>
    </row>
    <row r="80" spans="1:8" x14ac:dyDescent="0.3">
      <c r="C80" s="19"/>
      <c r="D80" s="20"/>
      <c r="E80" s="21"/>
      <c r="G80" s="9" t="s">
        <v>68</v>
      </c>
      <c r="H80" s="18">
        <v>12</v>
      </c>
    </row>
    <row r="81" spans="1:8" x14ac:dyDescent="0.3">
      <c r="C81" s="19"/>
      <c r="D81" s="20"/>
      <c r="E81" s="21"/>
      <c r="G81" s="9" t="s">
        <v>69</v>
      </c>
      <c r="H81" s="18">
        <v>12</v>
      </c>
    </row>
    <row r="82" spans="1:8" x14ac:dyDescent="0.3">
      <c r="C82" s="19"/>
      <c r="D82" s="20"/>
      <c r="E82" s="21"/>
      <c r="G82" s="9" t="s">
        <v>73</v>
      </c>
      <c r="H82" s="18">
        <v>20</v>
      </c>
    </row>
    <row r="83" spans="1:8" x14ac:dyDescent="0.3">
      <c r="C83" s="19"/>
      <c r="D83" s="20"/>
      <c r="E83" s="21"/>
      <c r="G83" s="9" t="s">
        <v>72</v>
      </c>
      <c r="H83" s="18">
        <v>35</v>
      </c>
    </row>
    <row r="84" spans="1:8" x14ac:dyDescent="0.3">
      <c r="C84" s="19"/>
      <c r="D84" s="20"/>
      <c r="E84" s="21"/>
      <c r="G84" s="9" t="s">
        <v>70</v>
      </c>
      <c r="H84" s="18">
        <v>93</v>
      </c>
    </row>
    <row r="85" spans="1:8" x14ac:dyDescent="0.3">
      <c r="C85" s="19"/>
      <c r="D85" s="20"/>
      <c r="E85" s="21"/>
      <c r="G85" s="9" t="s">
        <v>5</v>
      </c>
      <c r="H85" s="18">
        <v>291</v>
      </c>
    </row>
    <row r="86" spans="1:8" x14ac:dyDescent="0.3">
      <c r="C86" s="19"/>
      <c r="D86" s="20"/>
      <c r="E86" s="21"/>
      <c r="G86" s="9" t="s">
        <v>20</v>
      </c>
      <c r="H86" s="18">
        <v>480</v>
      </c>
    </row>
    <row r="87" spans="1:8" x14ac:dyDescent="0.3">
      <c r="C87" s="19"/>
      <c r="D87" s="20"/>
      <c r="E87" s="21"/>
    </row>
    <row r="88" spans="1:8" x14ac:dyDescent="0.3">
      <c r="C88" s="19"/>
      <c r="D88" s="20"/>
      <c r="E88" s="21"/>
    </row>
    <row r="89" spans="1:8" x14ac:dyDescent="0.3">
      <c r="C89" s="19"/>
      <c r="D89" s="20"/>
      <c r="E89" s="21"/>
    </row>
    <row r="90" spans="1:8" x14ac:dyDescent="0.3">
      <c r="C90" s="19"/>
      <c r="D90" s="20"/>
      <c r="E90" s="21"/>
    </row>
    <row r="91" spans="1:8" x14ac:dyDescent="0.3">
      <c r="C91" s="19"/>
      <c r="D91" s="20"/>
      <c r="E91" s="21"/>
    </row>
    <row r="92" spans="1:8" x14ac:dyDescent="0.3">
      <c r="C92" s="22"/>
      <c r="D92" s="23"/>
      <c r="E92" s="24"/>
    </row>
    <row r="94" spans="1:8" x14ac:dyDescent="0.3">
      <c r="A94" s="6" t="s">
        <v>22</v>
      </c>
    </row>
    <row r="95" spans="1:8" x14ac:dyDescent="0.3">
      <c r="A95" s="9" t="s">
        <v>21</v>
      </c>
    </row>
    <row r="96" spans="1:8" x14ac:dyDescent="0.3">
      <c r="A96" s="9" t="s">
        <v>20</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558D8-A8D6-4F76-BC81-144B6F9FC099}">
  <dimension ref="A1:M24"/>
  <sheetViews>
    <sheetView tabSelected="1" zoomScale="95" zoomScaleNormal="95" workbookViewId="0">
      <selection activeCell="Q10" sqref="Q10"/>
    </sheetView>
  </sheetViews>
  <sheetFormatPr defaultRowHeight="14.4" x14ac:dyDescent="0.3"/>
  <sheetData>
    <row r="1" spans="1:13" x14ac:dyDescent="0.3">
      <c r="A1" s="8"/>
      <c r="B1" s="8"/>
      <c r="C1" s="8"/>
      <c r="D1" s="8"/>
      <c r="E1" s="8"/>
      <c r="F1" s="8"/>
      <c r="G1" s="8"/>
      <c r="H1" s="8"/>
      <c r="I1" s="8"/>
      <c r="J1" s="8"/>
      <c r="K1" s="8"/>
      <c r="L1" s="8"/>
      <c r="M1" s="8"/>
    </row>
    <row r="2" spans="1:13" x14ac:dyDescent="0.3">
      <c r="A2" s="8"/>
      <c r="B2" s="8"/>
      <c r="C2" s="8"/>
      <c r="D2" s="8"/>
      <c r="E2" s="8"/>
      <c r="F2" s="8"/>
      <c r="G2" s="8"/>
      <c r="H2" s="8"/>
      <c r="I2" s="8"/>
      <c r="J2" s="8"/>
      <c r="K2" s="8"/>
      <c r="L2" s="8"/>
      <c r="M2" s="8"/>
    </row>
    <row r="3" spans="1:13" x14ac:dyDescent="0.3">
      <c r="A3" s="8"/>
      <c r="B3" s="8"/>
      <c r="C3" s="8"/>
      <c r="D3" s="8"/>
      <c r="E3" s="8"/>
      <c r="F3" s="8"/>
      <c r="G3" s="8"/>
      <c r="H3" s="8"/>
      <c r="I3" s="8"/>
      <c r="J3" s="8"/>
      <c r="K3" s="8"/>
      <c r="L3" s="8"/>
      <c r="M3" s="8"/>
    </row>
    <row r="4" spans="1:13" x14ac:dyDescent="0.3">
      <c r="A4" s="8"/>
      <c r="B4" s="8"/>
      <c r="C4" s="8"/>
      <c r="D4" s="8"/>
      <c r="E4" s="8"/>
      <c r="F4" s="8"/>
      <c r="G4" s="8"/>
      <c r="H4" s="8"/>
      <c r="I4" s="8"/>
      <c r="J4" s="8"/>
      <c r="K4" s="8"/>
      <c r="L4" s="8"/>
      <c r="M4" s="8"/>
    </row>
    <row r="5" spans="1:13" x14ac:dyDescent="0.3">
      <c r="A5" s="8"/>
      <c r="B5" s="8"/>
      <c r="C5" s="8"/>
      <c r="D5" s="8"/>
      <c r="E5" s="8"/>
      <c r="F5" s="8"/>
      <c r="G5" s="8"/>
      <c r="H5" s="8"/>
      <c r="I5" s="8"/>
      <c r="J5" s="8"/>
      <c r="K5" s="8"/>
      <c r="L5" s="8"/>
      <c r="M5" s="8"/>
    </row>
    <row r="6" spans="1:13" x14ac:dyDescent="0.3">
      <c r="A6" s="8"/>
      <c r="B6" s="8"/>
      <c r="C6" s="8"/>
      <c r="D6" s="8"/>
      <c r="E6" s="8"/>
      <c r="F6" s="8"/>
      <c r="G6" s="8"/>
      <c r="H6" s="8"/>
      <c r="I6" s="8"/>
      <c r="J6" s="8"/>
      <c r="K6" s="8"/>
      <c r="L6" s="8"/>
      <c r="M6" s="8"/>
    </row>
    <row r="7" spans="1:13" x14ac:dyDescent="0.3">
      <c r="A7" s="8"/>
      <c r="B7" s="8"/>
      <c r="C7" s="8"/>
      <c r="D7" s="8"/>
      <c r="E7" s="8"/>
      <c r="F7" s="8"/>
      <c r="G7" s="8"/>
      <c r="H7" s="8"/>
      <c r="I7" s="8"/>
      <c r="J7" s="8"/>
      <c r="K7" s="8"/>
      <c r="L7" s="8"/>
      <c r="M7" s="8"/>
    </row>
    <row r="8" spans="1:13" x14ac:dyDescent="0.3">
      <c r="A8" s="8"/>
      <c r="B8" s="8"/>
      <c r="C8" s="8"/>
      <c r="D8" s="8"/>
      <c r="E8" s="8"/>
      <c r="F8" s="8"/>
      <c r="G8" s="8"/>
      <c r="H8" s="8"/>
      <c r="I8" s="8"/>
      <c r="J8" s="8"/>
      <c r="K8" s="8"/>
      <c r="L8" s="8"/>
      <c r="M8" s="8"/>
    </row>
    <row r="9" spans="1:13" x14ac:dyDescent="0.3">
      <c r="A9" s="8"/>
      <c r="B9" s="8"/>
      <c r="C9" s="8"/>
      <c r="D9" s="8"/>
      <c r="E9" s="8"/>
      <c r="F9" s="8"/>
      <c r="G9" s="8"/>
      <c r="H9" s="8"/>
      <c r="I9" s="8"/>
      <c r="J9" s="8"/>
      <c r="K9" s="8"/>
      <c r="L9" s="8"/>
      <c r="M9" s="8"/>
    </row>
    <row r="10" spans="1:13" x14ac:dyDescent="0.3">
      <c r="A10" s="8"/>
      <c r="B10" s="8"/>
      <c r="C10" s="8"/>
      <c r="D10" s="8"/>
      <c r="E10" s="8"/>
      <c r="F10" s="8"/>
      <c r="G10" s="8"/>
      <c r="H10" s="8"/>
      <c r="I10" s="8"/>
      <c r="J10" s="8"/>
      <c r="K10" s="8"/>
      <c r="L10" s="8"/>
      <c r="M10" s="8"/>
    </row>
    <row r="11" spans="1:13" x14ac:dyDescent="0.3">
      <c r="A11" s="8"/>
      <c r="B11" s="8"/>
      <c r="C11" s="8"/>
      <c r="D11" s="8"/>
      <c r="E11" s="8"/>
      <c r="F11" s="8"/>
      <c r="G11" s="8"/>
      <c r="H11" s="8"/>
      <c r="I11" s="8"/>
      <c r="J11" s="8"/>
      <c r="K11" s="8"/>
      <c r="L11" s="8"/>
      <c r="M11" s="8"/>
    </row>
    <row r="12" spans="1:13" x14ac:dyDescent="0.3">
      <c r="A12" s="8"/>
      <c r="B12" s="8"/>
      <c r="C12" s="8"/>
      <c r="D12" s="8"/>
      <c r="E12" s="8"/>
      <c r="F12" s="8"/>
      <c r="G12" s="8"/>
      <c r="H12" s="8"/>
      <c r="I12" s="8"/>
      <c r="J12" s="8"/>
      <c r="K12" s="8"/>
      <c r="L12" s="8"/>
      <c r="M12" s="8"/>
    </row>
    <row r="13" spans="1:13" x14ac:dyDescent="0.3">
      <c r="A13" s="8"/>
      <c r="B13" s="8"/>
      <c r="C13" s="8"/>
      <c r="D13" s="8"/>
      <c r="E13" s="8"/>
      <c r="F13" s="8"/>
      <c r="G13" s="8"/>
      <c r="H13" s="8"/>
      <c r="I13" s="8"/>
      <c r="J13" s="8"/>
      <c r="K13" s="8"/>
      <c r="L13" s="8"/>
      <c r="M13" s="8"/>
    </row>
    <row r="14" spans="1:13" x14ac:dyDescent="0.3">
      <c r="A14" s="8"/>
      <c r="B14" s="8"/>
      <c r="C14" s="8"/>
      <c r="D14" s="8"/>
      <c r="E14" s="8"/>
      <c r="F14" s="8"/>
      <c r="G14" s="8"/>
      <c r="H14" s="8"/>
      <c r="I14" s="8"/>
      <c r="J14" s="8"/>
      <c r="K14" s="8"/>
      <c r="L14" s="8"/>
      <c r="M14" s="8"/>
    </row>
    <row r="15" spans="1:13" x14ac:dyDescent="0.3">
      <c r="A15" s="8"/>
      <c r="B15" s="8"/>
      <c r="C15" s="8"/>
      <c r="D15" s="8"/>
      <c r="E15" s="8"/>
      <c r="F15" s="8"/>
      <c r="G15" s="8"/>
      <c r="H15" s="8"/>
      <c r="I15" s="8"/>
      <c r="J15" s="8"/>
      <c r="K15" s="8"/>
      <c r="L15" s="8"/>
      <c r="M15" s="8"/>
    </row>
    <row r="16" spans="1:13" x14ac:dyDescent="0.3">
      <c r="A16" s="8"/>
      <c r="B16" s="8"/>
      <c r="C16" s="8"/>
      <c r="D16" s="8"/>
      <c r="E16" s="8"/>
      <c r="F16" s="8"/>
      <c r="G16" s="8"/>
      <c r="H16" s="8"/>
      <c r="I16" s="8"/>
      <c r="J16" s="8"/>
      <c r="K16" s="8"/>
      <c r="L16" s="8"/>
      <c r="M16" s="8"/>
    </row>
    <row r="17" spans="1:13" x14ac:dyDescent="0.3">
      <c r="A17" s="8"/>
      <c r="B17" s="8"/>
      <c r="C17" s="8"/>
      <c r="D17" s="8"/>
      <c r="E17" s="8"/>
      <c r="F17" s="8"/>
      <c r="G17" s="8"/>
      <c r="H17" s="8"/>
      <c r="I17" s="8"/>
      <c r="J17" s="8"/>
      <c r="K17" s="8"/>
      <c r="L17" s="8"/>
      <c r="M17" s="8"/>
    </row>
    <row r="18" spans="1:13" x14ac:dyDescent="0.3">
      <c r="A18" s="8"/>
      <c r="B18" s="8"/>
      <c r="C18" s="8"/>
      <c r="D18" s="8"/>
      <c r="E18" s="8"/>
      <c r="F18" s="8"/>
      <c r="G18" s="8"/>
      <c r="H18" s="8"/>
      <c r="I18" s="8"/>
      <c r="J18" s="8"/>
      <c r="K18" s="8"/>
      <c r="L18" s="8"/>
      <c r="M18" s="8"/>
    </row>
    <row r="19" spans="1:13" x14ac:dyDescent="0.3">
      <c r="A19" s="8"/>
      <c r="B19" s="8"/>
      <c r="C19" s="8"/>
      <c r="D19" s="8"/>
      <c r="E19" s="8"/>
      <c r="F19" s="8"/>
      <c r="G19" s="8"/>
      <c r="H19" s="8"/>
      <c r="I19" s="8"/>
      <c r="J19" s="8"/>
      <c r="K19" s="8"/>
      <c r="L19" s="8"/>
      <c r="M19" s="8"/>
    </row>
    <row r="20" spans="1:13" x14ac:dyDescent="0.3">
      <c r="A20" s="8"/>
      <c r="B20" s="8"/>
      <c r="C20" s="8"/>
      <c r="D20" s="8"/>
      <c r="E20" s="8"/>
      <c r="F20" s="8"/>
      <c r="G20" s="8"/>
      <c r="H20" s="8"/>
      <c r="I20" s="8"/>
      <c r="J20" s="8"/>
      <c r="K20" s="8"/>
      <c r="L20" s="8"/>
      <c r="M20" s="8"/>
    </row>
    <row r="21" spans="1:13" x14ac:dyDescent="0.3">
      <c r="A21" s="8"/>
      <c r="B21" s="8"/>
      <c r="C21" s="8"/>
      <c r="D21" s="8"/>
      <c r="E21" s="8"/>
      <c r="F21" s="8"/>
      <c r="G21" s="8"/>
      <c r="H21" s="8"/>
      <c r="I21" s="8"/>
      <c r="J21" s="8"/>
      <c r="K21" s="8"/>
      <c r="L21" s="8"/>
      <c r="M21" s="8"/>
    </row>
    <row r="22" spans="1:13" x14ac:dyDescent="0.3">
      <c r="A22" s="8"/>
      <c r="B22" s="8"/>
      <c r="C22" s="8"/>
      <c r="D22" s="8"/>
      <c r="E22" s="8"/>
      <c r="F22" s="8"/>
      <c r="G22" s="8"/>
      <c r="H22" s="8"/>
      <c r="I22" s="8"/>
      <c r="J22" s="8"/>
      <c r="K22" s="8"/>
      <c r="L22" s="8"/>
      <c r="M22" s="8"/>
    </row>
    <row r="23" spans="1:13" x14ac:dyDescent="0.3">
      <c r="A23" s="8"/>
      <c r="B23" s="8"/>
      <c r="C23" s="8"/>
      <c r="D23" s="8"/>
      <c r="E23" s="8"/>
      <c r="F23" s="8"/>
      <c r="G23" s="8"/>
      <c r="H23" s="8"/>
      <c r="I23" s="8"/>
      <c r="J23" s="8"/>
      <c r="K23" s="8"/>
      <c r="L23" s="8"/>
      <c r="M23" s="8"/>
    </row>
    <row r="24" spans="1:13" x14ac:dyDescent="0.3">
      <c r="A24" s="8"/>
      <c r="B24" s="8"/>
      <c r="C24" s="8"/>
      <c r="D24" s="8"/>
      <c r="E24" s="8"/>
      <c r="F24" s="8"/>
      <c r="G24" s="8"/>
      <c r="H24" s="8"/>
      <c r="I24" s="8"/>
      <c r="J24" s="8"/>
      <c r="K24" s="8"/>
      <c r="L24" s="8"/>
      <c r="M24" s="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9F115-476F-4F1D-BD50-B9CCD3B634C8}">
  <dimension ref="A1:N31"/>
  <sheetViews>
    <sheetView zoomScale="136" zoomScaleNormal="136" workbookViewId="0"/>
  </sheetViews>
  <sheetFormatPr defaultRowHeight="14.4" x14ac:dyDescent="0.3"/>
  <cols>
    <col min="14" max="14" width="49.109375" customWidth="1"/>
  </cols>
  <sheetData>
    <row r="1" spans="1:14" x14ac:dyDescent="0.3">
      <c r="A1" s="10"/>
      <c r="B1" s="10"/>
      <c r="C1" s="10"/>
      <c r="D1" s="10"/>
      <c r="E1" s="10"/>
      <c r="F1" s="10"/>
      <c r="G1" s="10"/>
      <c r="H1" s="10"/>
      <c r="I1" s="10"/>
      <c r="J1" s="10"/>
      <c r="K1" s="10"/>
      <c r="L1" s="10"/>
      <c r="M1" s="10"/>
      <c r="N1" s="10"/>
    </row>
    <row r="2" spans="1:14" x14ac:dyDescent="0.3">
      <c r="A2" s="10"/>
      <c r="B2" s="10"/>
      <c r="C2" s="10"/>
      <c r="D2" s="10"/>
      <c r="E2" s="10"/>
      <c r="F2" s="10"/>
      <c r="G2" s="10"/>
      <c r="H2" s="10"/>
      <c r="I2" s="10"/>
      <c r="J2" s="10"/>
      <c r="K2" s="10"/>
      <c r="L2" s="10"/>
      <c r="M2" s="10"/>
      <c r="N2" s="10"/>
    </row>
    <row r="3" spans="1:14" x14ac:dyDescent="0.3">
      <c r="A3" s="10"/>
      <c r="B3" s="10"/>
      <c r="C3" s="10"/>
      <c r="D3" s="10"/>
      <c r="E3" s="10"/>
      <c r="F3" s="10"/>
      <c r="G3" s="10"/>
      <c r="H3" s="10"/>
      <c r="I3" s="10"/>
      <c r="J3" s="10"/>
      <c r="K3" s="10"/>
      <c r="L3" s="10"/>
      <c r="M3" s="10"/>
      <c r="N3" s="10"/>
    </row>
    <row r="4" spans="1:14" x14ac:dyDescent="0.3">
      <c r="A4" s="10"/>
      <c r="B4" s="10"/>
      <c r="C4" s="10"/>
      <c r="D4" s="10"/>
      <c r="E4" s="10"/>
      <c r="F4" s="10"/>
      <c r="G4" s="10"/>
      <c r="H4" s="10"/>
      <c r="I4" s="10"/>
      <c r="J4" s="10"/>
      <c r="K4" s="10"/>
      <c r="L4" s="10"/>
      <c r="M4" s="10"/>
      <c r="N4" s="10"/>
    </row>
    <row r="5" spans="1:14" x14ac:dyDescent="0.3">
      <c r="A5" s="10"/>
      <c r="B5" s="10"/>
      <c r="C5" s="10"/>
      <c r="D5" s="10"/>
      <c r="E5" s="10"/>
      <c r="F5" s="10"/>
      <c r="G5" s="10"/>
      <c r="H5" s="10"/>
      <c r="I5" s="10"/>
      <c r="J5" s="10"/>
      <c r="K5" s="10"/>
      <c r="L5" s="10"/>
      <c r="M5" s="10"/>
      <c r="N5" s="10"/>
    </row>
    <row r="6" spans="1:14" x14ac:dyDescent="0.3">
      <c r="A6" s="10"/>
      <c r="B6" s="10"/>
      <c r="C6" s="10"/>
      <c r="D6" s="10"/>
      <c r="E6" s="10"/>
      <c r="F6" s="10"/>
      <c r="G6" s="10"/>
      <c r="H6" s="10"/>
      <c r="I6" s="10"/>
      <c r="J6" s="10"/>
      <c r="K6" s="10"/>
      <c r="L6" s="10"/>
      <c r="M6" s="10"/>
      <c r="N6" s="10"/>
    </row>
    <row r="7" spans="1:14" x14ac:dyDescent="0.3">
      <c r="A7" s="10"/>
      <c r="B7" s="10"/>
      <c r="C7" s="10"/>
      <c r="D7" s="10"/>
      <c r="E7" s="10"/>
      <c r="F7" s="10"/>
      <c r="G7" s="10"/>
      <c r="H7" s="10"/>
      <c r="I7" s="10"/>
      <c r="J7" s="10"/>
      <c r="K7" s="10"/>
      <c r="L7" s="10"/>
      <c r="M7" s="10"/>
      <c r="N7" s="10"/>
    </row>
    <row r="8" spans="1:14" x14ac:dyDescent="0.3">
      <c r="A8" s="10"/>
      <c r="B8" s="10"/>
      <c r="C8" s="10"/>
      <c r="D8" s="10"/>
      <c r="E8" s="10"/>
      <c r="F8" s="10"/>
      <c r="G8" s="10"/>
      <c r="H8" s="10"/>
      <c r="I8" s="10"/>
      <c r="J8" s="10"/>
      <c r="K8" s="10"/>
      <c r="L8" s="10"/>
      <c r="M8" s="10"/>
      <c r="N8" s="10"/>
    </row>
    <row r="9" spans="1:14" x14ac:dyDescent="0.3">
      <c r="A9" s="10"/>
      <c r="B9" s="10"/>
      <c r="C9" s="10"/>
      <c r="D9" s="10"/>
      <c r="E9" s="10"/>
      <c r="F9" s="10"/>
      <c r="G9" s="10"/>
      <c r="H9" s="10"/>
      <c r="I9" s="10"/>
      <c r="J9" s="10"/>
      <c r="K9" s="10"/>
      <c r="L9" s="10"/>
      <c r="M9" s="10"/>
      <c r="N9" s="10"/>
    </row>
    <row r="10" spans="1:14" x14ac:dyDescent="0.3">
      <c r="A10" s="10"/>
      <c r="B10" s="10"/>
      <c r="C10" s="10"/>
      <c r="D10" s="10"/>
      <c r="E10" s="10"/>
      <c r="F10" s="10"/>
      <c r="G10" s="10"/>
      <c r="H10" s="10"/>
      <c r="I10" s="10"/>
      <c r="J10" s="10"/>
      <c r="K10" s="10"/>
      <c r="L10" s="10"/>
      <c r="M10" s="10"/>
      <c r="N10" s="10"/>
    </row>
    <row r="11" spans="1:14" x14ac:dyDescent="0.3">
      <c r="A11" s="10"/>
      <c r="B11" s="10"/>
      <c r="C11" s="10"/>
      <c r="D11" s="10"/>
      <c r="E11" s="10"/>
      <c r="F11" s="10"/>
      <c r="G11" s="10"/>
      <c r="H11" s="10"/>
      <c r="I11" s="10"/>
      <c r="J11" s="10"/>
      <c r="K11" s="10"/>
      <c r="L11" s="10"/>
      <c r="M11" s="10"/>
      <c r="N11" s="10"/>
    </row>
    <row r="12" spans="1:14" x14ac:dyDescent="0.3">
      <c r="A12" s="10"/>
      <c r="B12" s="10"/>
      <c r="C12" s="10"/>
      <c r="D12" s="10"/>
      <c r="E12" s="10"/>
      <c r="F12" s="10"/>
      <c r="G12" s="10"/>
      <c r="H12" s="10"/>
      <c r="I12" s="10"/>
      <c r="J12" s="10"/>
      <c r="K12" s="10"/>
      <c r="L12" s="10"/>
      <c r="M12" s="10"/>
      <c r="N12" s="10"/>
    </row>
    <row r="13" spans="1:14" x14ac:dyDescent="0.3">
      <c r="A13" s="10"/>
      <c r="B13" s="10"/>
      <c r="C13" s="10"/>
      <c r="D13" s="10"/>
      <c r="E13" s="10"/>
      <c r="F13" s="10"/>
      <c r="G13" s="10"/>
      <c r="H13" s="10"/>
      <c r="I13" s="10"/>
      <c r="J13" s="10"/>
      <c r="K13" s="10"/>
      <c r="L13" s="10"/>
      <c r="M13" s="10"/>
      <c r="N13" s="10"/>
    </row>
    <row r="14" spans="1:14" x14ac:dyDescent="0.3">
      <c r="A14" s="10"/>
      <c r="B14" s="10"/>
      <c r="C14" s="10"/>
      <c r="D14" s="10"/>
      <c r="E14" s="10"/>
      <c r="F14" s="10"/>
      <c r="G14" s="10"/>
      <c r="H14" s="10"/>
      <c r="I14" s="10"/>
      <c r="J14" s="10"/>
      <c r="K14" s="10"/>
      <c r="L14" s="10"/>
      <c r="M14" s="10"/>
      <c r="N14" s="10"/>
    </row>
    <row r="15" spans="1:14" x14ac:dyDescent="0.3">
      <c r="A15" s="10"/>
      <c r="B15" s="10"/>
      <c r="C15" s="10"/>
      <c r="D15" s="10"/>
      <c r="E15" s="10"/>
      <c r="F15" s="10"/>
      <c r="G15" s="10"/>
      <c r="H15" s="10"/>
      <c r="I15" s="10"/>
      <c r="J15" s="10"/>
      <c r="K15" s="10"/>
      <c r="L15" s="10"/>
      <c r="M15" s="10"/>
      <c r="N15" s="10"/>
    </row>
    <row r="16" spans="1:14" x14ac:dyDescent="0.3">
      <c r="A16" s="10"/>
      <c r="B16" s="10"/>
      <c r="C16" s="10"/>
      <c r="D16" s="10"/>
      <c r="E16" s="10"/>
      <c r="F16" s="10"/>
      <c r="G16" s="10"/>
      <c r="H16" s="10"/>
      <c r="I16" s="10"/>
      <c r="J16" s="10"/>
      <c r="K16" s="10"/>
      <c r="L16" s="10"/>
      <c r="M16" s="10"/>
      <c r="N16" s="10"/>
    </row>
    <row r="17" spans="1:14" x14ac:dyDescent="0.3">
      <c r="A17" s="10"/>
      <c r="B17" s="10"/>
      <c r="C17" s="10"/>
      <c r="D17" s="10"/>
      <c r="E17" s="10"/>
      <c r="F17" s="10"/>
      <c r="G17" s="10"/>
      <c r="H17" s="10"/>
      <c r="I17" s="10"/>
      <c r="J17" s="10"/>
      <c r="K17" s="10"/>
      <c r="L17" s="10"/>
      <c r="M17" s="10"/>
      <c r="N17" s="10"/>
    </row>
    <row r="18" spans="1:14" x14ac:dyDescent="0.3">
      <c r="A18" s="10"/>
      <c r="B18" s="10"/>
      <c r="C18" s="10"/>
      <c r="D18" s="10"/>
      <c r="E18" s="10"/>
      <c r="F18" s="10"/>
      <c r="G18" s="10"/>
      <c r="H18" s="10"/>
      <c r="I18" s="10"/>
      <c r="J18" s="10"/>
      <c r="K18" s="10"/>
      <c r="L18" s="10"/>
      <c r="M18" s="10"/>
      <c r="N18" s="10"/>
    </row>
    <row r="19" spans="1:14" x14ac:dyDescent="0.3">
      <c r="A19" s="10"/>
      <c r="B19" s="10"/>
      <c r="C19" s="10"/>
      <c r="D19" s="10"/>
      <c r="E19" s="10"/>
      <c r="F19" s="10"/>
      <c r="G19" s="10"/>
      <c r="H19" s="10"/>
      <c r="I19" s="10"/>
      <c r="J19" s="10"/>
      <c r="K19" s="10"/>
      <c r="L19" s="10"/>
      <c r="M19" s="10"/>
      <c r="N19" s="10"/>
    </row>
    <row r="20" spans="1:14" x14ac:dyDescent="0.3">
      <c r="A20" s="10"/>
      <c r="B20" s="10"/>
      <c r="C20" s="10"/>
      <c r="D20" s="10"/>
      <c r="E20" s="10"/>
      <c r="F20" s="10"/>
      <c r="G20" s="10"/>
      <c r="H20" s="10"/>
      <c r="I20" s="10"/>
      <c r="J20" s="10"/>
      <c r="K20" s="10"/>
      <c r="L20" s="10"/>
      <c r="M20" s="10"/>
      <c r="N20" s="10"/>
    </row>
    <row r="21" spans="1:14" x14ac:dyDescent="0.3">
      <c r="A21" s="10"/>
      <c r="B21" s="10"/>
      <c r="C21" s="10"/>
      <c r="D21" s="10"/>
      <c r="E21" s="10"/>
      <c r="F21" s="10"/>
      <c r="G21" s="10"/>
      <c r="H21" s="10"/>
      <c r="I21" s="10"/>
      <c r="J21" s="10"/>
      <c r="K21" s="10"/>
      <c r="L21" s="10"/>
      <c r="M21" s="10"/>
      <c r="N21" s="10"/>
    </row>
    <row r="22" spans="1:14" x14ac:dyDescent="0.3">
      <c r="A22" s="10"/>
      <c r="B22" s="10"/>
      <c r="C22" s="10"/>
      <c r="D22" s="10"/>
      <c r="E22" s="10"/>
      <c r="F22" s="10"/>
      <c r="G22" s="10"/>
      <c r="H22" s="10"/>
      <c r="I22" s="10"/>
      <c r="J22" s="10"/>
      <c r="K22" s="10"/>
      <c r="L22" s="10"/>
      <c r="M22" s="10"/>
      <c r="N22" s="10"/>
    </row>
    <row r="23" spans="1:14" x14ac:dyDescent="0.3">
      <c r="A23" s="10"/>
      <c r="B23" s="10"/>
      <c r="C23" s="10"/>
      <c r="D23" s="10"/>
      <c r="E23" s="10"/>
      <c r="F23" s="10"/>
      <c r="G23" s="10"/>
      <c r="H23" s="10"/>
      <c r="I23" s="10"/>
      <c r="J23" s="10"/>
      <c r="K23" s="10"/>
      <c r="L23" s="10"/>
      <c r="M23" s="10"/>
      <c r="N23" s="10"/>
    </row>
    <row r="24" spans="1:14" x14ac:dyDescent="0.3">
      <c r="A24" s="10"/>
      <c r="B24" s="10"/>
      <c r="C24" s="10"/>
      <c r="D24" s="10"/>
      <c r="E24" s="10"/>
      <c r="F24" s="10"/>
      <c r="G24" s="10"/>
      <c r="H24" s="10"/>
      <c r="I24" s="10"/>
      <c r="J24" s="10"/>
      <c r="K24" s="10"/>
      <c r="L24" s="10"/>
      <c r="M24" s="10"/>
      <c r="N24" s="10"/>
    </row>
    <row r="25" spans="1:14" x14ac:dyDescent="0.3">
      <c r="A25" s="10"/>
      <c r="B25" s="10"/>
      <c r="C25" s="10"/>
      <c r="D25" s="10"/>
      <c r="E25" s="10"/>
      <c r="F25" s="10"/>
      <c r="G25" s="10"/>
      <c r="H25" s="10"/>
      <c r="I25" s="10"/>
      <c r="J25" s="10"/>
      <c r="K25" s="10"/>
      <c r="L25" s="10"/>
      <c r="M25" s="10"/>
      <c r="N25" s="10"/>
    </row>
    <row r="26" spans="1:14" x14ac:dyDescent="0.3">
      <c r="A26" s="10"/>
      <c r="B26" s="10"/>
      <c r="C26" s="10"/>
      <c r="D26" s="10"/>
      <c r="E26" s="10"/>
      <c r="F26" s="10"/>
      <c r="G26" s="10"/>
      <c r="H26" s="10"/>
      <c r="I26" s="10"/>
      <c r="J26" s="10"/>
      <c r="K26" s="10"/>
      <c r="L26" s="10"/>
      <c r="M26" s="10"/>
      <c r="N26" s="10"/>
    </row>
    <row r="27" spans="1:14" x14ac:dyDescent="0.3">
      <c r="A27" s="10"/>
      <c r="B27" s="10"/>
      <c r="C27" s="10"/>
      <c r="D27" s="10"/>
      <c r="E27" s="10"/>
      <c r="F27" s="10"/>
      <c r="G27" s="10"/>
      <c r="H27" s="10"/>
      <c r="I27" s="10"/>
      <c r="J27" s="10"/>
      <c r="K27" s="10"/>
      <c r="L27" s="10"/>
      <c r="M27" s="10"/>
      <c r="N27" s="10"/>
    </row>
    <row r="28" spans="1:14" x14ac:dyDescent="0.3">
      <c r="A28" s="10"/>
      <c r="B28" s="10"/>
      <c r="C28" s="10"/>
      <c r="D28" s="10"/>
      <c r="E28" s="10"/>
      <c r="F28" s="10"/>
      <c r="G28" s="10"/>
      <c r="H28" s="10"/>
      <c r="I28" s="10"/>
      <c r="J28" s="10"/>
      <c r="K28" s="10"/>
      <c r="L28" s="10"/>
      <c r="M28" s="10"/>
      <c r="N28" s="10"/>
    </row>
    <row r="29" spans="1:14" x14ac:dyDescent="0.3">
      <c r="A29" s="10"/>
      <c r="B29" s="10"/>
      <c r="C29" s="10"/>
      <c r="D29" s="10"/>
      <c r="E29" s="10"/>
      <c r="F29" s="10"/>
      <c r="G29" s="10"/>
      <c r="H29" s="10"/>
      <c r="I29" s="10"/>
      <c r="J29" s="10"/>
      <c r="K29" s="10"/>
      <c r="L29" s="10"/>
      <c r="M29" s="10"/>
      <c r="N29" s="10"/>
    </row>
    <row r="30" spans="1:14" x14ac:dyDescent="0.3">
      <c r="A30" s="10"/>
      <c r="B30" s="10"/>
      <c r="C30" s="10"/>
      <c r="D30" s="10"/>
      <c r="E30" s="10"/>
      <c r="F30" s="10"/>
      <c r="G30" s="10"/>
      <c r="H30" s="10"/>
      <c r="I30" s="10"/>
      <c r="J30" s="10"/>
      <c r="K30" s="10"/>
      <c r="L30" s="10"/>
      <c r="M30" s="10"/>
      <c r="N30" s="10"/>
    </row>
    <row r="31" spans="1:14" ht="191.4" customHeight="1" x14ac:dyDescent="0.3">
      <c r="A31" s="10"/>
      <c r="B31" s="10"/>
      <c r="C31" s="10"/>
      <c r="D31" s="10"/>
      <c r="E31" s="10"/>
      <c r="F31" s="10"/>
      <c r="G31" s="10"/>
      <c r="H31" s="10"/>
      <c r="I31" s="10"/>
      <c r="J31" s="10"/>
      <c r="K31" s="10"/>
      <c r="L31" s="10"/>
      <c r="M31" s="10"/>
      <c r="N31"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137C-EEB5-4FD8-BA91-69E6F512FE7E}">
  <dimension ref="A1:U45"/>
  <sheetViews>
    <sheetView zoomScale="82" zoomScaleNormal="82" workbookViewId="0"/>
  </sheetViews>
  <sheetFormatPr defaultRowHeight="14.4" x14ac:dyDescent="0.3"/>
  <sheetData>
    <row r="1" spans="1:21" x14ac:dyDescent="0.3">
      <c r="A1" s="10"/>
      <c r="B1" s="10"/>
      <c r="C1" s="10"/>
      <c r="D1" s="10"/>
      <c r="E1" s="10"/>
      <c r="F1" s="10"/>
      <c r="G1" s="10"/>
      <c r="H1" s="10"/>
      <c r="I1" s="10"/>
      <c r="J1" s="10"/>
      <c r="K1" s="10"/>
      <c r="L1" s="10"/>
      <c r="M1" s="10"/>
      <c r="N1" s="10"/>
      <c r="O1" s="10"/>
      <c r="P1" s="10"/>
      <c r="Q1" s="10"/>
      <c r="R1" s="10"/>
      <c r="S1" s="10"/>
      <c r="T1" s="10"/>
      <c r="U1" s="10"/>
    </row>
    <row r="2" spans="1:21" x14ac:dyDescent="0.3">
      <c r="A2" s="10"/>
      <c r="B2" s="10"/>
      <c r="C2" s="10"/>
      <c r="D2" s="10"/>
      <c r="E2" s="10"/>
      <c r="F2" s="10"/>
      <c r="G2" s="10"/>
      <c r="H2" s="10"/>
      <c r="I2" s="10"/>
      <c r="J2" s="10"/>
      <c r="K2" s="10"/>
      <c r="L2" s="10"/>
      <c r="M2" s="10"/>
      <c r="N2" s="10"/>
      <c r="O2" s="10"/>
      <c r="P2" s="10"/>
      <c r="Q2" s="10"/>
      <c r="R2" s="10"/>
      <c r="S2" s="10"/>
      <c r="T2" s="10"/>
      <c r="U2" s="10"/>
    </row>
    <row r="3" spans="1:21" x14ac:dyDescent="0.3">
      <c r="A3" s="10"/>
      <c r="B3" s="10"/>
      <c r="C3" s="10"/>
      <c r="D3" s="10"/>
      <c r="E3" s="10"/>
      <c r="F3" s="10"/>
      <c r="G3" s="10"/>
      <c r="H3" s="10"/>
      <c r="I3" s="10"/>
      <c r="J3" s="10"/>
      <c r="K3" s="10"/>
      <c r="L3" s="10"/>
      <c r="M3" s="10"/>
      <c r="N3" s="10"/>
      <c r="O3" s="10"/>
      <c r="P3" s="10"/>
      <c r="Q3" s="10"/>
      <c r="R3" s="10"/>
      <c r="S3" s="10"/>
      <c r="T3" s="10"/>
      <c r="U3" s="10"/>
    </row>
    <row r="4" spans="1:21" x14ac:dyDescent="0.3">
      <c r="A4" s="10"/>
      <c r="B4" s="10"/>
      <c r="C4" s="10"/>
      <c r="D4" s="10"/>
      <c r="E4" s="10"/>
      <c r="F4" s="10"/>
      <c r="G4" s="10"/>
      <c r="H4" s="10"/>
      <c r="I4" s="10"/>
      <c r="J4" s="10"/>
      <c r="K4" s="10"/>
      <c r="L4" s="10"/>
      <c r="M4" s="10"/>
      <c r="N4" s="10"/>
      <c r="O4" s="10"/>
      <c r="P4" s="10"/>
      <c r="Q4" s="10"/>
      <c r="R4" s="10"/>
      <c r="S4" s="10"/>
      <c r="T4" s="10"/>
      <c r="U4" s="10"/>
    </row>
    <row r="5" spans="1:21" x14ac:dyDescent="0.3">
      <c r="A5" s="10"/>
      <c r="B5" s="10"/>
      <c r="C5" s="10"/>
      <c r="D5" s="10"/>
      <c r="E5" s="10"/>
      <c r="F5" s="10"/>
      <c r="G5" s="10"/>
      <c r="H5" s="10"/>
      <c r="I5" s="10"/>
      <c r="J5" s="10"/>
      <c r="K5" s="10"/>
      <c r="L5" s="10"/>
      <c r="M5" s="10"/>
      <c r="N5" s="10"/>
      <c r="O5" s="10"/>
      <c r="P5" s="10"/>
      <c r="Q5" s="10"/>
      <c r="R5" s="10"/>
      <c r="S5" s="10"/>
      <c r="T5" s="10"/>
      <c r="U5" s="10"/>
    </row>
    <row r="6" spans="1:21" x14ac:dyDescent="0.3">
      <c r="A6" s="10"/>
      <c r="B6" s="10"/>
      <c r="C6" s="10"/>
      <c r="D6" s="10"/>
      <c r="E6" s="10"/>
      <c r="F6" s="10"/>
      <c r="G6" s="10"/>
      <c r="H6" s="10"/>
      <c r="I6" s="10"/>
      <c r="J6" s="10"/>
      <c r="K6" s="10"/>
      <c r="L6" s="10"/>
      <c r="M6" s="10"/>
      <c r="N6" s="10"/>
      <c r="O6" s="10"/>
      <c r="P6" s="10"/>
      <c r="Q6" s="10"/>
      <c r="R6" s="10"/>
      <c r="S6" s="10"/>
      <c r="T6" s="10"/>
      <c r="U6" s="10"/>
    </row>
    <row r="7" spans="1:21" x14ac:dyDescent="0.3">
      <c r="A7" s="10"/>
      <c r="B7" s="10"/>
      <c r="C7" s="10"/>
      <c r="D7" s="10"/>
      <c r="E7" s="10"/>
      <c r="F7" s="10"/>
      <c r="G7" s="10"/>
      <c r="H7" s="10"/>
      <c r="I7" s="10"/>
      <c r="J7" s="10"/>
      <c r="K7" s="10"/>
      <c r="L7" s="10"/>
      <c r="M7" s="10"/>
      <c r="N7" s="10"/>
      <c r="O7" s="10"/>
      <c r="P7" s="10"/>
      <c r="Q7" s="10"/>
      <c r="R7" s="10"/>
      <c r="S7" s="10"/>
      <c r="T7" s="10"/>
      <c r="U7" s="10"/>
    </row>
    <row r="8" spans="1:21" x14ac:dyDescent="0.3">
      <c r="A8" s="10"/>
      <c r="B8" s="10"/>
      <c r="C8" s="10"/>
      <c r="D8" s="10"/>
      <c r="E8" s="10"/>
      <c r="F8" s="10"/>
      <c r="G8" s="10"/>
      <c r="H8" s="10"/>
      <c r="I8" s="10"/>
      <c r="J8" s="10"/>
      <c r="K8" s="10"/>
      <c r="L8" s="10"/>
      <c r="M8" s="10"/>
      <c r="N8" s="10"/>
      <c r="O8" s="10"/>
      <c r="P8" s="10"/>
      <c r="Q8" s="10"/>
      <c r="R8" s="10"/>
      <c r="S8" s="10"/>
      <c r="T8" s="10"/>
      <c r="U8" s="10"/>
    </row>
    <row r="9" spans="1:21" x14ac:dyDescent="0.3">
      <c r="A9" s="10"/>
      <c r="B9" s="10"/>
      <c r="C9" s="10"/>
      <c r="D9" s="10"/>
      <c r="E9" s="10"/>
      <c r="F9" s="10"/>
      <c r="G9" s="10"/>
      <c r="H9" s="10"/>
      <c r="I9" s="10"/>
      <c r="J9" s="10"/>
      <c r="K9" s="10"/>
      <c r="L9" s="10"/>
      <c r="M9" s="10"/>
      <c r="N9" s="10"/>
      <c r="O9" s="10"/>
      <c r="P9" s="10"/>
      <c r="Q9" s="10"/>
      <c r="R9" s="10"/>
      <c r="S9" s="10"/>
      <c r="T9" s="10"/>
      <c r="U9" s="10"/>
    </row>
    <row r="10" spans="1:21" x14ac:dyDescent="0.3">
      <c r="A10" s="10"/>
      <c r="B10" s="10"/>
      <c r="C10" s="10"/>
      <c r="D10" s="10"/>
      <c r="E10" s="10"/>
      <c r="F10" s="10"/>
      <c r="G10" s="10"/>
      <c r="H10" s="10"/>
      <c r="I10" s="10"/>
      <c r="J10" s="10"/>
      <c r="K10" s="10"/>
      <c r="L10" s="10"/>
      <c r="M10" s="10"/>
      <c r="N10" s="10"/>
      <c r="O10" s="10"/>
      <c r="P10" s="10"/>
      <c r="Q10" s="10"/>
      <c r="R10" s="10"/>
      <c r="S10" s="10"/>
      <c r="T10" s="10"/>
      <c r="U10" s="10"/>
    </row>
    <row r="11" spans="1:21" x14ac:dyDescent="0.3">
      <c r="A11" s="10"/>
      <c r="B11" s="10"/>
      <c r="C11" s="10"/>
      <c r="D11" s="10"/>
      <c r="E11" s="10"/>
      <c r="F11" s="10"/>
      <c r="G11" s="10"/>
      <c r="H11" s="10"/>
      <c r="I11" s="10"/>
      <c r="J11" s="10"/>
      <c r="K11" s="10"/>
      <c r="L11" s="10"/>
      <c r="M11" s="10"/>
      <c r="N11" s="10"/>
      <c r="O11" s="10"/>
      <c r="P11" s="10"/>
      <c r="Q11" s="10"/>
      <c r="R11" s="10"/>
      <c r="S11" s="10"/>
      <c r="T11" s="10"/>
      <c r="U11" s="10"/>
    </row>
    <row r="12" spans="1:21" x14ac:dyDescent="0.3">
      <c r="A12" s="10"/>
      <c r="B12" s="10"/>
      <c r="C12" s="10"/>
      <c r="D12" s="10"/>
      <c r="E12" s="10"/>
      <c r="F12" s="10"/>
      <c r="G12" s="10"/>
      <c r="H12" s="10"/>
      <c r="I12" s="10"/>
      <c r="J12" s="10"/>
      <c r="K12" s="10"/>
      <c r="L12" s="10"/>
      <c r="M12" s="10"/>
      <c r="N12" s="10"/>
      <c r="O12" s="10"/>
      <c r="P12" s="10"/>
      <c r="Q12" s="10"/>
      <c r="R12" s="10"/>
      <c r="S12" s="10"/>
      <c r="T12" s="10"/>
      <c r="U12" s="10"/>
    </row>
    <row r="13" spans="1:21" x14ac:dyDescent="0.3">
      <c r="A13" s="10"/>
      <c r="B13" s="10"/>
      <c r="C13" s="10"/>
      <c r="D13" s="10"/>
      <c r="E13" s="10"/>
      <c r="F13" s="10"/>
      <c r="G13" s="10"/>
      <c r="H13" s="10"/>
      <c r="I13" s="10"/>
      <c r="J13" s="10"/>
      <c r="K13" s="10"/>
      <c r="L13" s="10"/>
      <c r="M13" s="10"/>
      <c r="N13" s="10"/>
      <c r="O13" s="10"/>
      <c r="P13" s="10"/>
      <c r="Q13" s="10"/>
      <c r="R13" s="10"/>
      <c r="S13" s="10"/>
      <c r="T13" s="10"/>
      <c r="U13" s="10"/>
    </row>
    <row r="14" spans="1:21" x14ac:dyDescent="0.3">
      <c r="A14" s="10"/>
      <c r="B14" s="10"/>
      <c r="C14" s="10"/>
      <c r="D14" s="10"/>
      <c r="E14" s="10"/>
      <c r="F14" s="10"/>
      <c r="G14" s="10"/>
      <c r="H14" s="10"/>
      <c r="I14" s="10"/>
      <c r="J14" s="10"/>
      <c r="K14" s="10"/>
      <c r="L14" s="10"/>
      <c r="M14" s="10"/>
      <c r="N14" s="10"/>
      <c r="O14" s="10"/>
      <c r="P14" s="10"/>
      <c r="Q14" s="10"/>
      <c r="R14" s="10"/>
      <c r="S14" s="10"/>
      <c r="T14" s="10"/>
      <c r="U14" s="10"/>
    </row>
    <row r="15" spans="1:21" x14ac:dyDescent="0.3">
      <c r="A15" s="10"/>
      <c r="B15" s="10"/>
      <c r="C15" s="10"/>
      <c r="D15" s="10"/>
      <c r="E15" s="10"/>
      <c r="F15" s="10"/>
      <c r="G15" s="10"/>
      <c r="H15" s="10"/>
      <c r="I15" s="10"/>
      <c r="J15" s="10"/>
      <c r="K15" s="10"/>
      <c r="L15" s="10"/>
      <c r="M15" s="10"/>
      <c r="N15" s="10"/>
      <c r="O15" s="10"/>
      <c r="P15" s="10"/>
      <c r="Q15" s="10"/>
      <c r="R15" s="10"/>
      <c r="S15" s="10"/>
      <c r="T15" s="10"/>
      <c r="U15" s="10"/>
    </row>
    <row r="16" spans="1:21" x14ac:dyDescent="0.3">
      <c r="A16" s="10"/>
      <c r="B16" s="10"/>
      <c r="C16" s="10"/>
      <c r="D16" s="10"/>
      <c r="E16" s="10"/>
      <c r="F16" s="10"/>
      <c r="G16" s="10"/>
      <c r="H16" s="10"/>
      <c r="I16" s="10"/>
      <c r="J16" s="10"/>
      <c r="K16" s="10"/>
      <c r="L16" s="10"/>
      <c r="M16" s="10"/>
      <c r="N16" s="10"/>
      <c r="O16" s="10"/>
      <c r="P16" s="10"/>
      <c r="Q16" s="10"/>
      <c r="R16" s="10"/>
      <c r="S16" s="10"/>
      <c r="T16" s="10"/>
      <c r="U16" s="10"/>
    </row>
    <row r="17" spans="1:21" x14ac:dyDescent="0.3">
      <c r="A17" s="10"/>
      <c r="B17" s="10"/>
      <c r="C17" s="10"/>
      <c r="D17" s="10"/>
      <c r="E17" s="10"/>
      <c r="F17" s="10"/>
      <c r="G17" s="10"/>
      <c r="H17" s="10"/>
      <c r="I17" s="10"/>
      <c r="J17" s="10"/>
      <c r="K17" s="10"/>
      <c r="L17" s="10"/>
      <c r="M17" s="10"/>
      <c r="N17" s="10"/>
      <c r="O17" s="10"/>
      <c r="P17" s="10"/>
      <c r="Q17" s="10"/>
      <c r="R17" s="10"/>
      <c r="S17" s="10"/>
      <c r="T17" s="10"/>
      <c r="U17" s="10"/>
    </row>
    <row r="18" spans="1:21" x14ac:dyDescent="0.3">
      <c r="A18" s="10"/>
      <c r="B18" s="10"/>
      <c r="C18" s="10"/>
      <c r="D18" s="10"/>
      <c r="E18" s="10"/>
      <c r="F18" s="10"/>
      <c r="G18" s="10"/>
      <c r="H18" s="10"/>
      <c r="I18" s="10"/>
      <c r="J18" s="10"/>
      <c r="K18" s="10"/>
      <c r="L18" s="10"/>
      <c r="M18" s="10"/>
      <c r="N18" s="10"/>
      <c r="O18" s="10"/>
      <c r="P18" s="10"/>
      <c r="Q18" s="10"/>
      <c r="R18" s="10"/>
      <c r="S18" s="10"/>
      <c r="T18" s="10"/>
      <c r="U18" s="10"/>
    </row>
    <row r="19" spans="1:21" x14ac:dyDescent="0.3">
      <c r="A19" s="10"/>
      <c r="B19" s="10"/>
      <c r="C19" s="10"/>
      <c r="D19" s="10"/>
      <c r="E19" s="10"/>
      <c r="F19" s="10"/>
      <c r="G19" s="10"/>
      <c r="H19" s="10"/>
      <c r="I19" s="10"/>
      <c r="J19" s="10"/>
      <c r="K19" s="10"/>
      <c r="L19" s="10"/>
      <c r="M19" s="10"/>
      <c r="N19" s="10"/>
      <c r="O19" s="10"/>
      <c r="P19" s="10"/>
      <c r="Q19" s="10"/>
      <c r="R19" s="10"/>
      <c r="S19" s="10"/>
      <c r="T19" s="10"/>
      <c r="U19" s="10"/>
    </row>
    <row r="20" spans="1:21" x14ac:dyDescent="0.3">
      <c r="A20" s="10"/>
      <c r="B20" s="10"/>
      <c r="C20" s="10"/>
      <c r="D20" s="10"/>
      <c r="E20" s="10"/>
      <c r="F20" s="10"/>
      <c r="G20" s="10"/>
      <c r="H20" s="10"/>
      <c r="I20" s="10"/>
      <c r="J20" s="10"/>
      <c r="K20" s="10"/>
      <c r="L20" s="10"/>
      <c r="M20" s="10"/>
      <c r="N20" s="10"/>
      <c r="O20" s="10"/>
      <c r="P20" s="10"/>
      <c r="Q20" s="10"/>
      <c r="R20" s="10"/>
      <c r="S20" s="10"/>
      <c r="T20" s="10"/>
      <c r="U20" s="10"/>
    </row>
    <row r="21" spans="1:21" x14ac:dyDescent="0.3">
      <c r="A21" s="10"/>
      <c r="B21" s="10"/>
      <c r="C21" s="10"/>
      <c r="D21" s="10"/>
      <c r="E21" s="10"/>
      <c r="F21" s="10"/>
      <c r="G21" s="10"/>
      <c r="H21" s="10"/>
      <c r="I21" s="10"/>
      <c r="J21" s="10"/>
      <c r="K21" s="10"/>
      <c r="L21" s="10"/>
      <c r="M21" s="10"/>
      <c r="N21" s="10"/>
      <c r="O21" s="10"/>
      <c r="P21" s="10"/>
      <c r="Q21" s="10"/>
      <c r="R21" s="10"/>
      <c r="S21" s="10"/>
      <c r="T21" s="10"/>
      <c r="U21" s="10"/>
    </row>
    <row r="22" spans="1:21" x14ac:dyDescent="0.3">
      <c r="A22" s="10"/>
      <c r="B22" s="10"/>
      <c r="C22" s="10"/>
      <c r="D22" s="10"/>
      <c r="E22" s="10"/>
      <c r="F22" s="10"/>
      <c r="G22" s="10"/>
      <c r="H22" s="10"/>
      <c r="I22" s="10"/>
      <c r="J22" s="10"/>
      <c r="K22" s="10"/>
      <c r="L22" s="10"/>
      <c r="M22" s="10"/>
      <c r="N22" s="10"/>
      <c r="O22" s="10"/>
      <c r="P22" s="10"/>
      <c r="Q22" s="10"/>
      <c r="R22" s="10"/>
      <c r="S22" s="10"/>
      <c r="T22" s="10"/>
      <c r="U22" s="10"/>
    </row>
    <row r="23" spans="1:21" x14ac:dyDescent="0.3">
      <c r="A23" s="10"/>
      <c r="B23" s="10"/>
      <c r="C23" s="10"/>
      <c r="D23" s="10"/>
      <c r="E23" s="10"/>
      <c r="F23" s="10"/>
      <c r="G23" s="10"/>
      <c r="H23" s="10"/>
      <c r="I23" s="10"/>
      <c r="J23" s="10"/>
      <c r="K23" s="10"/>
      <c r="L23" s="10"/>
      <c r="M23" s="10"/>
      <c r="N23" s="10"/>
      <c r="O23" s="10"/>
      <c r="P23" s="10"/>
      <c r="Q23" s="10"/>
      <c r="R23" s="10"/>
      <c r="S23" s="10"/>
      <c r="T23" s="10"/>
      <c r="U23" s="10"/>
    </row>
    <row r="24" spans="1:21" x14ac:dyDescent="0.3">
      <c r="A24" s="10"/>
      <c r="B24" s="10"/>
      <c r="C24" s="10"/>
      <c r="D24" s="10"/>
      <c r="E24" s="10"/>
      <c r="F24" s="10"/>
      <c r="G24" s="10"/>
      <c r="H24" s="10"/>
      <c r="I24" s="10"/>
      <c r="J24" s="10"/>
      <c r="K24" s="10"/>
      <c r="L24" s="10"/>
      <c r="M24" s="10"/>
      <c r="N24" s="10"/>
      <c r="O24" s="10"/>
      <c r="P24" s="10"/>
      <c r="Q24" s="10"/>
      <c r="R24" s="10"/>
      <c r="S24" s="10"/>
      <c r="T24" s="10"/>
      <c r="U24" s="10"/>
    </row>
    <row r="25" spans="1:21" x14ac:dyDescent="0.3">
      <c r="A25" s="10"/>
      <c r="B25" s="10"/>
      <c r="C25" s="10"/>
      <c r="D25" s="10"/>
      <c r="E25" s="10"/>
      <c r="F25" s="10"/>
      <c r="G25" s="10"/>
      <c r="H25" s="10"/>
      <c r="I25" s="10"/>
      <c r="J25" s="10"/>
      <c r="K25" s="10"/>
      <c r="L25" s="10"/>
      <c r="M25" s="10"/>
      <c r="N25" s="10"/>
      <c r="O25" s="10"/>
      <c r="P25" s="10"/>
      <c r="Q25" s="10"/>
      <c r="R25" s="10"/>
      <c r="S25" s="10"/>
      <c r="T25" s="10"/>
      <c r="U25" s="10"/>
    </row>
    <row r="26" spans="1:21" x14ac:dyDescent="0.3">
      <c r="A26" s="10"/>
      <c r="B26" s="10"/>
      <c r="C26" s="10"/>
      <c r="D26" s="10"/>
      <c r="E26" s="10"/>
      <c r="F26" s="10"/>
      <c r="G26" s="10"/>
      <c r="H26" s="10"/>
      <c r="I26" s="10"/>
      <c r="J26" s="10"/>
      <c r="K26" s="10"/>
      <c r="L26" s="10"/>
      <c r="M26" s="10"/>
      <c r="N26" s="10"/>
      <c r="O26" s="10"/>
      <c r="P26" s="10"/>
      <c r="Q26" s="10"/>
      <c r="R26" s="10"/>
      <c r="S26" s="10"/>
      <c r="T26" s="10"/>
      <c r="U26" s="10"/>
    </row>
    <row r="27" spans="1:21" x14ac:dyDescent="0.3">
      <c r="A27" s="10"/>
      <c r="B27" s="10"/>
      <c r="C27" s="10"/>
      <c r="D27" s="10"/>
      <c r="E27" s="10"/>
      <c r="F27" s="10"/>
      <c r="G27" s="10"/>
      <c r="H27" s="10"/>
      <c r="I27" s="10"/>
      <c r="J27" s="10"/>
      <c r="K27" s="10"/>
      <c r="L27" s="10"/>
      <c r="M27" s="10"/>
      <c r="N27" s="10"/>
      <c r="O27" s="10"/>
      <c r="P27" s="10"/>
      <c r="Q27" s="10"/>
      <c r="R27" s="10"/>
      <c r="S27" s="10"/>
      <c r="T27" s="10"/>
      <c r="U27" s="10"/>
    </row>
    <row r="28" spans="1:21" x14ac:dyDescent="0.3">
      <c r="A28" s="10"/>
      <c r="B28" s="10"/>
      <c r="C28" s="10"/>
      <c r="D28" s="10"/>
      <c r="E28" s="10"/>
      <c r="F28" s="10"/>
      <c r="G28" s="10"/>
      <c r="H28" s="10"/>
      <c r="I28" s="10"/>
      <c r="J28" s="10"/>
      <c r="K28" s="10"/>
      <c r="L28" s="10"/>
      <c r="M28" s="10"/>
      <c r="N28" s="10"/>
      <c r="O28" s="10"/>
      <c r="P28" s="10"/>
      <c r="Q28" s="10"/>
      <c r="R28" s="10"/>
      <c r="S28" s="10"/>
      <c r="T28" s="10"/>
      <c r="U28" s="10"/>
    </row>
    <row r="29" spans="1:21" x14ac:dyDescent="0.3">
      <c r="A29" s="10"/>
      <c r="B29" s="10"/>
      <c r="C29" s="10"/>
      <c r="D29" s="10"/>
      <c r="E29" s="10"/>
      <c r="F29" s="10"/>
      <c r="G29" s="10"/>
      <c r="H29" s="10"/>
      <c r="I29" s="10"/>
      <c r="J29" s="10"/>
      <c r="K29" s="10"/>
      <c r="L29" s="10"/>
      <c r="M29" s="10"/>
      <c r="N29" s="10"/>
      <c r="O29" s="10"/>
      <c r="P29" s="10"/>
      <c r="Q29" s="10"/>
      <c r="R29" s="10"/>
      <c r="S29" s="10"/>
      <c r="T29" s="10"/>
      <c r="U29" s="10"/>
    </row>
    <row r="30" spans="1:21" x14ac:dyDescent="0.3">
      <c r="A30" s="10"/>
      <c r="B30" s="10"/>
      <c r="C30" s="10"/>
      <c r="D30" s="10"/>
      <c r="E30" s="10"/>
      <c r="F30" s="10"/>
      <c r="G30" s="10"/>
      <c r="H30" s="10"/>
      <c r="I30" s="10"/>
      <c r="J30" s="10"/>
      <c r="K30" s="10"/>
      <c r="L30" s="10"/>
      <c r="M30" s="10"/>
      <c r="N30" s="10"/>
      <c r="O30" s="10"/>
      <c r="P30" s="10"/>
      <c r="Q30" s="10"/>
      <c r="R30" s="10"/>
      <c r="S30" s="10"/>
      <c r="T30" s="10"/>
      <c r="U30" s="10"/>
    </row>
    <row r="31" spans="1:21" x14ac:dyDescent="0.3">
      <c r="A31" s="10"/>
      <c r="B31" s="10"/>
      <c r="C31" s="10"/>
      <c r="D31" s="10"/>
      <c r="E31" s="10"/>
      <c r="F31" s="10"/>
      <c r="G31" s="10"/>
      <c r="H31" s="10"/>
      <c r="I31" s="10"/>
      <c r="J31" s="10"/>
      <c r="K31" s="10"/>
      <c r="L31" s="10"/>
      <c r="M31" s="10"/>
      <c r="N31" s="10"/>
      <c r="O31" s="10"/>
      <c r="P31" s="10"/>
      <c r="Q31" s="10"/>
      <c r="R31" s="10"/>
      <c r="S31" s="10"/>
      <c r="T31" s="10"/>
      <c r="U31" s="10"/>
    </row>
    <row r="32" spans="1:21" x14ac:dyDescent="0.3">
      <c r="A32" s="10"/>
      <c r="B32" s="10"/>
      <c r="C32" s="10"/>
      <c r="D32" s="10"/>
      <c r="E32" s="10"/>
      <c r="F32" s="10"/>
      <c r="G32" s="10"/>
      <c r="H32" s="10"/>
      <c r="I32" s="10"/>
      <c r="J32" s="10"/>
      <c r="K32" s="10"/>
      <c r="L32" s="10"/>
      <c r="M32" s="10"/>
      <c r="N32" s="10"/>
      <c r="O32" s="10"/>
      <c r="P32" s="10"/>
      <c r="Q32" s="10"/>
      <c r="R32" s="10"/>
      <c r="S32" s="10"/>
      <c r="T32" s="10"/>
      <c r="U32" s="10"/>
    </row>
    <row r="33" spans="1:21" x14ac:dyDescent="0.3">
      <c r="A33" s="10"/>
      <c r="B33" s="10"/>
      <c r="C33" s="10"/>
      <c r="D33" s="10"/>
      <c r="E33" s="10"/>
      <c r="F33" s="10"/>
      <c r="G33" s="10"/>
      <c r="H33" s="10"/>
      <c r="I33" s="10"/>
      <c r="J33" s="10"/>
      <c r="K33" s="10"/>
      <c r="L33" s="10"/>
      <c r="M33" s="10"/>
      <c r="N33" s="10"/>
      <c r="O33" s="10"/>
      <c r="P33" s="10"/>
      <c r="Q33" s="10"/>
      <c r="R33" s="10"/>
      <c r="S33" s="10"/>
      <c r="T33" s="10"/>
      <c r="U33" s="10"/>
    </row>
    <row r="34" spans="1:21" x14ac:dyDescent="0.3">
      <c r="A34" s="10"/>
      <c r="B34" s="10"/>
      <c r="C34" s="10"/>
      <c r="D34" s="10"/>
      <c r="E34" s="10"/>
      <c r="F34" s="10"/>
      <c r="G34" s="10"/>
      <c r="H34" s="10"/>
      <c r="I34" s="10"/>
      <c r="J34" s="10"/>
      <c r="K34" s="10"/>
      <c r="L34" s="10"/>
      <c r="M34" s="10"/>
      <c r="N34" s="10"/>
      <c r="O34" s="10"/>
      <c r="P34" s="10"/>
      <c r="Q34" s="10"/>
      <c r="R34" s="10"/>
      <c r="S34" s="10"/>
      <c r="T34" s="10"/>
      <c r="U34" s="10"/>
    </row>
    <row r="35" spans="1:21" x14ac:dyDescent="0.3">
      <c r="A35" s="10"/>
      <c r="B35" s="10"/>
      <c r="C35" s="10"/>
      <c r="D35" s="10"/>
      <c r="E35" s="10"/>
      <c r="F35" s="10"/>
      <c r="G35" s="10"/>
      <c r="H35" s="10"/>
      <c r="I35" s="10"/>
      <c r="J35" s="10"/>
      <c r="K35" s="10"/>
      <c r="L35" s="10"/>
      <c r="M35" s="10"/>
      <c r="N35" s="10"/>
      <c r="O35" s="10"/>
      <c r="P35" s="10"/>
      <c r="Q35" s="10"/>
      <c r="R35" s="10"/>
      <c r="S35" s="10"/>
      <c r="T35" s="10"/>
      <c r="U35" s="10"/>
    </row>
    <row r="36" spans="1:21" x14ac:dyDescent="0.3">
      <c r="A36" s="10"/>
      <c r="B36" s="10"/>
      <c r="C36" s="10"/>
      <c r="D36" s="10"/>
      <c r="E36" s="10"/>
      <c r="F36" s="10"/>
      <c r="G36" s="10"/>
      <c r="H36" s="10"/>
      <c r="I36" s="10"/>
      <c r="J36" s="10"/>
      <c r="K36" s="10"/>
      <c r="L36" s="10"/>
      <c r="M36" s="10"/>
      <c r="N36" s="10"/>
      <c r="O36" s="10"/>
      <c r="P36" s="10"/>
      <c r="Q36" s="10"/>
      <c r="R36" s="10"/>
      <c r="S36" s="10"/>
      <c r="T36" s="10"/>
      <c r="U36" s="10"/>
    </row>
    <row r="37" spans="1:21" x14ac:dyDescent="0.3">
      <c r="A37" s="10"/>
      <c r="B37" s="10"/>
      <c r="C37" s="10"/>
      <c r="D37" s="10"/>
      <c r="E37" s="10"/>
      <c r="F37" s="10"/>
      <c r="G37" s="10"/>
      <c r="H37" s="10"/>
      <c r="I37" s="10"/>
      <c r="J37" s="10"/>
      <c r="K37" s="10"/>
      <c r="L37" s="10"/>
      <c r="M37" s="10"/>
      <c r="N37" s="10"/>
      <c r="O37" s="10"/>
      <c r="P37" s="10"/>
      <c r="Q37" s="10"/>
      <c r="R37" s="10"/>
      <c r="S37" s="10"/>
      <c r="T37" s="10"/>
      <c r="U37" s="10"/>
    </row>
    <row r="38" spans="1:21" x14ac:dyDescent="0.3">
      <c r="A38" s="10"/>
      <c r="B38" s="10"/>
      <c r="C38" s="10"/>
      <c r="D38" s="10"/>
      <c r="E38" s="10"/>
      <c r="F38" s="10"/>
      <c r="G38" s="10"/>
      <c r="H38" s="10"/>
      <c r="I38" s="10"/>
      <c r="J38" s="10"/>
      <c r="K38" s="10"/>
      <c r="L38" s="10"/>
      <c r="M38" s="10"/>
      <c r="N38" s="10"/>
      <c r="O38" s="10"/>
      <c r="P38" s="10"/>
      <c r="Q38" s="10"/>
      <c r="R38" s="10"/>
      <c r="S38" s="10"/>
      <c r="T38" s="10"/>
      <c r="U38" s="10"/>
    </row>
    <row r="39" spans="1:21" x14ac:dyDescent="0.3">
      <c r="A39" s="10"/>
      <c r="B39" s="10"/>
      <c r="C39" s="10"/>
      <c r="D39" s="10"/>
      <c r="E39" s="10"/>
      <c r="F39" s="10"/>
      <c r="G39" s="10"/>
      <c r="H39" s="10"/>
      <c r="I39" s="10"/>
      <c r="J39" s="10"/>
      <c r="K39" s="10"/>
      <c r="L39" s="10"/>
      <c r="M39" s="10"/>
      <c r="N39" s="10"/>
      <c r="O39" s="10"/>
      <c r="P39" s="10"/>
      <c r="Q39" s="10"/>
      <c r="R39" s="10"/>
      <c r="S39" s="10"/>
      <c r="T39" s="10"/>
      <c r="U39" s="10"/>
    </row>
    <row r="40" spans="1:21" x14ac:dyDescent="0.3">
      <c r="A40" s="10"/>
      <c r="B40" s="10"/>
      <c r="C40" s="10"/>
      <c r="D40" s="10"/>
      <c r="E40" s="10"/>
      <c r="F40" s="10"/>
      <c r="G40" s="10"/>
      <c r="H40" s="10"/>
      <c r="I40" s="10"/>
      <c r="J40" s="10"/>
      <c r="K40" s="10"/>
      <c r="L40" s="10"/>
      <c r="M40" s="10"/>
      <c r="N40" s="10"/>
      <c r="O40" s="10"/>
      <c r="P40" s="10"/>
      <c r="Q40" s="10"/>
      <c r="R40" s="10"/>
      <c r="S40" s="10"/>
      <c r="T40" s="10"/>
      <c r="U40" s="10"/>
    </row>
    <row r="41" spans="1:21" x14ac:dyDescent="0.3">
      <c r="A41" s="10"/>
      <c r="B41" s="10"/>
      <c r="C41" s="10"/>
      <c r="D41" s="10"/>
      <c r="E41" s="10"/>
      <c r="F41" s="10"/>
      <c r="G41" s="10"/>
      <c r="H41" s="10"/>
      <c r="I41" s="10"/>
      <c r="J41" s="10"/>
      <c r="K41" s="10"/>
      <c r="L41" s="10"/>
      <c r="M41" s="10"/>
      <c r="N41" s="10"/>
      <c r="O41" s="10"/>
      <c r="P41" s="10"/>
      <c r="Q41" s="10"/>
      <c r="R41" s="10"/>
      <c r="S41" s="10"/>
      <c r="T41" s="10"/>
      <c r="U41" s="10"/>
    </row>
    <row r="42" spans="1:21" x14ac:dyDescent="0.3">
      <c r="A42" s="10"/>
      <c r="B42" s="10"/>
      <c r="C42" s="10"/>
      <c r="D42" s="10"/>
      <c r="E42" s="10"/>
      <c r="F42" s="10"/>
      <c r="G42" s="10"/>
      <c r="H42" s="10"/>
      <c r="I42" s="10"/>
      <c r="J42" s="10"/>
      <c r="K42" s="10"/>
      <c r="L42" s="10"/>
      <c r="M42" s="10"/>
      <c r="N42" s="10"/>
      <c r="O42" s="10"/>
      <c r="P42" s="10"/>
      <c r="Q42" s="10"/>
      <c r="R42" s="10"/>
      <c r="S42" s="10"/>
      <c r="T42" s="10"/>
      <c r="U42" s="10"/>
    </row>
    <row r="43" spans="1:21" x14ac:dyDescent="0.3">
      <c r="A43" s="10"/>
      <c r="B43" s="10"/>
      <c r="C43" s="10"/>
      <c r="D43" s="10"/>
      <c r="E43" s="10"/>
      <c r="F43" s="10"/>
      <c r="G43" s="10"/>
      <c r="H43" s="10"/>
      <c r="I43" s="10"/>
      <c r="J43" s="10"/>
      <c r="K43" s="10"/>
      <c r="L43" s="10"/>
      <c r="M43" s="10"/>
      <c r="N43" s="10"/>
      <c r="O43" s="10"/>
      <c r="P43" s="10"/>
      <c r="Q43" s="10"/>
      <c r="R43" s="10"/>
      <c r="S43" s="10"/>
      <c r="T43" s="10"/>
      <c r="U43" s="10"/>
    </row>
    <row r="44" spans="1:21" x14ac:dyDescent="0.3">
      <c r="A44" s="10"/>
      <c r="B44" s="10"/>
      <c r="C44" s="10"/>
      <c r="D44" s="10"/>
      <c r="E44" s="10"/>
      <c r="F44" s="10"/>
      <c r="G44" s="10"/>
      <c r="H44" s="10"/>
      <c r="I44" s="10"/>
      <c r="J44" s="10"/>
      <c r="K44" s="10"/>
      <c r="L44" s="10"/>
      <c r="M44" s="10"/>
      <c r="N44" s="10"/>
      <c r="O44" s="10"/>
      <c r="P44" s="10"/>
      <c r="Q44" s="10"/>
      <c r="R44" s="10"/>
      <c r="S44" s="10"/>
      <c r="T44" s="10"/>
      <c r="U44" s="10"/>
    </row>
    <row r="45" spans="1:21" x14ac:dyDescent="0.3">
      <c r="A45" s="10"/>
      <c r="B45" s="10"/>
      <c r="C45" s="10"/>
      <c r="D45" s="10"/>
      <c r="E45" s="10"/>
      <c r="F45" s="10"/>
      <c r="G45" s="10"/>
      <c r="H45" s="10"/>
      <c r="I45" s="10"/>
      <c r="J45" s="10"/>
      <c r="K45" s="10"/>
      <c r="L45" s="10"/>
      <c r="M45" s="10"/>
      <c r="N45" s="10"/>
      <c r="O45" s="10"/>
      <c r="P45" s="10"/>
      <c r="Q45" s="10"/>
      <c r="R45" s="10"/>
      <c r="S45" s="10"/>
      <c r="T45" s="10"/>
      <c r="U45"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DC23-4C63-4E4D-8D42-1CAD507DE6F5}">
  <dimension ref="A1:X46"/>
  <sheetViews>
    <sheetView zoomScale="98" zoomScaleNormal="98" workbookViewId="0"/>
  </sheetViews>
  <sheetFormatPr defaultRowHeight="14.4" x14ac:dyDescent="0.3"/>
  <sheetData>
    <row r="1" spans="1:24" x14ac:dyDescent="0.3">
      <c r="A1" s="10"/>
      <c r="B1" s="10"/>
      <c r="C1" s="10"/>
      <c r="D1" s="10"/>
      <c r="E1" s="10"/>
      <c r="F1" s="10"/>
      <c r="G1" s="10"/>
      <c r="H1" s="10"/>
      <c r="I1" s="10"/>
      <c r="J1" s="10"/>
      <c r="K1" s="10"/>
      <c r="L1" s="10"/>
      <c r="M1" s="10"/>
      <c r="N1" s="10"/>
      <c r="O1" s="10"/>
      <c r="P1" s="10"/>
      <c r="Q1" s="10"/>
      <c r="R1" s="10"/>
      <c r="S1" s="10"/>
      <c r="T1" s="10"/>
      <c r="U1" s="10"/>
      <c r="V1" s="10"/>
      <c r="W1" s="10"/>
      <c r="X1" s="10"/>
    </row>
    <row r="2" spans="1:24" x14ac:dyDescent="0.3">
      <c r="A2" s="10"/>
      <c r="B2" s="10"/>
      <c r="C2" s="10"/>
      <c r="D2" s="10"/>
      <c r="E2" s="10"/>
      <c r="F2" s="10"/>
      <c r="G2" s="10"/>
      <c r="H2" s="10"/>
      <c r="I2" s="10"/>
      <c r="J2" s="10"/>
      <c r="K2" s="10"/>
      <c r="L2" s="10"/>
      <c r="M2" s="10"/>
      <c r="N2" s="10"/>
      <c r="O2" s="10"/>
      <c r="P2" s="10"/>
      <c r="Q2" s="10"/>
      <c r="R2" s="10"/>
      <c r="S2" s="10"/>
      <c r="T2" s="10"/>
      <c r="U2" s="10"/>
      <c r="V2" s="10"/>
      <c r="W2" s="10"/>
      <c r="X2" s="10"/>
    </row>
    <row r="3" spans="1:24" x14ac:dyDescent="0.3">
      <c r="A3" s="10"/>
      <c r="B3" s="10"/>
      <c r="C3" s="10"/>
      <c r="D3" s="10"/>
      <c r="E3" s="10"/>
      <c r="F3" s="10"/>
      <c r="G3" s="10"/>
      <c r="H3" s="10"/>
      <c r="I3" s="10"/>
      <c r="J3" s="10"/>
      <c r="K3" s="10"/>
      <c r="L3" s="10"/>
      <c r="M3" s="10"/>
      <c r="N3" s="10"/>
      <c r="O3" s="10"/>
      <c r="P3" s="10"/>
      <c r="Q3" s="10"/>
      <c r="R3" s="10"/>
      <c r="S3" s="10"/>
      <c r="T3" s="10"/>
      <c r="U3" s="10"/>
      <c r="V3" s="10"/>
      <c r="W3" s="10"/>
      <c r="X3" s="10"/>
    </row>
    <row r="4" spans="1:24" x14ac:dyDescent="0.3">
      <c r="A4" s="10"/>
      <c r="B4" s="10"/>
      <c r="C4" s="10"/>
      <c r="D4" s="10"/>
      <c r="E4" s="10"/>
      <c r="F4" s="10"/>
      <c r="G4" s="10"/>
      <c r="H4" s="10"/>
      <c r="I4" s="10"/>
      <c r="J4" s="10"/>
      <c r="K4" s="10"/>
      <c r="L4" s="10"/>
      <c r="M4" s="10"/>
      <c r="N4" s="10"/>
      <c r="O4" s="10"/>
      <c r="P4" s="10"/>
      <c r="Q4" s="10"/>
      <c r="R4" s="10"/>
      <c r="S4" s="10"/>
      <c r="T4" s="10"/>
      <c r="U4" s="10"/>
      <c r="V4" s="10"/>
      <c r="W4" s="10"/>
      <c r="X4" s="10"/>
    </row>
    <row r="5" spans="1:24" x14ac:dyDescent="0.3">
      <c r="A5" s="10"/>
      <c r="B5" s="10"/>
      <c r="C5" s="10"/>
      <c r="D5" s="10"/>
      <c r="E5" s="10"/>
      <c r="F5" s="10"/>
      <c r="G5" s="10"/>
      <c r="H5" s="10"/>
      <c r="I5" s="10"/>
      <c r="J5" s="10"/>
      <c r="K5" s="10"/>
      <c r="L5" s="10"/>
      <c r="M5" s="10"/>
      <c r="N5" s="10"/>
      <c r="O5" s="10"/>
      <c r="P5" s="10"/>
      <c r="Q5" s="10"/>
      <c r="R5" s="10"/>
      <c r="S5" s="10"/>
      <c r="T5" s="10"/>
      <c r="U5" s="10"/>
      <c r="V5" s="10"/>
      <c r="W5" s="10"/>
      <c r="X5" s="10"/>
    </row>
    <row r="6" spans="1:24" x14ac:dyDescent="0.3">
      <c r="A6" s="10"/>
      <c r="B6" s="10"/>
      <c r="C6" s="10"/>
      <c r="D6" s="10"/>
      <c r="E6" s="10"/>
      <c r="F6" s="10"/>
      <c r="G6" s="10"/>
      <c r="H6" s="10"/>
      <c r="I6" s="10"/>
      <c r="J6" s="10"/>
      <c r="K6" s="10"/>
      <c r="L6" s="10"/>
      <c r="M6" s="10"/>
      <c r="N6" s="10"/>
      <c r="O6" s="10"/>
      <c r="P6" s="10"/>
      <c r="Q6" s="10"/>
      <c r="R6" s="10"/>
      <c r="S6" s="10"/>
      <c r="T6" s="10"/>
      <c r="U6" s="10"/>
      <c r="V6" s="10"/>
      <c r="W6" s="10"/>
      <c r="X6" s="10"/>
    </row>
    <row r="7" spans="1:24" x14ac:dyDescent="0.3">
      <c r="A7" s="10"/>
      <c r="B7" s="10"/>
      <c r="C7" s="10"/>
      <c r="D7" s="10"/>
      <c r="E7" s="10"/>
      <c r="F7" s="10"/>
      <c r="G7" s="10"/>
      <c r="H7" s="10"/>
      <c r="I7" s="10"/>
      <c r="J7" s="10"/>
      <c r="K7" s="10"/>
      <c r="L7" s="10"/>
      <c r="M7" s="10"/>
      <c r="N7" s="10"/>
      <c r="O7" s="10"/>
      <c r="P7" s="10"/>
      <c r="Q7" s="10"/>
      <c r="R7" s="10"/>
      <c r="S7" s="10"/>
      <c r="T7" s="10"/>
      <c r="U7" s="10"/>
      <c r="V7" s="10"/>
      <c r="W7" s="10"/>
      <c r="X7" s="10"/>
    </row>
    <row r="8" spans="1:24" x14ac:dyDescent="0.3">
      <c r="A8" s="10"/>
      <c r="B8" s="10"/>
      <c r="C8" s="10"/>
      <c r="D8" s="10"/>
      <c r="E8" s="10"/>
      <c r="F8" s="10"/>
      <c r="G8" s="10"/>
      <c r="H8" s="10"/>
      <c r="I8" s="10"/>
      <c r="J8" s="10"/>
      <c r="K8" s="10"/>
      <c r="L8" s="10"/>
      <c r="M8" s="10"/>
      <c r="N8" s="10"/>
      <c r="O8" s="10"/>
      <c r="P8" s="10"/>
      <c r="Q8" s="10"/>
      <c r="R8" s="10"/>
      <c r="S8" s="10"/>
      <c r="T8" s="10"/>
      <c r="U8" s="10"/>
      <c r="V8" s="10"/>
      <c r="W8" s="10"/>
      <c r="X8" s="10"/>
    </row>
    <row r="9" spans="1:24" x14ac:dyDescent="0.3">
      <c r="A9" s="10"/>
      <c r="B9" s="10"/>
      <c r="C9" s="10"/>
      <c r="D9" s="10"/>
      <c r="E9" s="10"/>
      <c r="F9" s="10"/>
      <c r="G9" s="10"/>
      <c r="H9" s="10"/>
      <c r="I9" s="10"/>
      <c r="J9" s="10"/>
      <c r="K9" s="10"/>
      <c r="L9" s="10"/>
      <c r="M9" s="10"/>
      <c r="N9" s="10"/>
      <c r="O9" s="10"/>
      <c r="P9" s="10"/>
      <c r="Q9" s="10"/>
      <c r="R9" s="10"/>
      <c r="S9" s="10"/>
      <c r="T9" s="10"/>
      <c r="U9" s="10"/>
      <c r="V9" s="10"/>
      <c r="W9" s="10"/>
      <c r="X9" s="10"/>
    </row>
    <row r="10" spans="1:24"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row>
    <row r="34" spans="1:24"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row>
    <row r="36" spans="1:24"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row>
    <row r="37" spans="1:24"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row>
    <row r="38" spans="1:24"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row>
    <row r="39" spans="1:24"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row>
    <row r="40" spans="1:24"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row>
    <row r="41" spans="1:24"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row>
    <row r="42" spans="1:24"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row>
    <row r="43" spans="1:24"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row>
    <row r="44" spans="1:24"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row>
    <row r="45" spans="1:24"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row>
    <row r="46" spans="1:24"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460FD3A-3A7A-4FA4-B097-6353B500790B}">
  <ds:schemaRefs>
    <ds:schemaRef ds:uri="http://schemas.microsoft.com/DataMashup"/>
  </ds:schemaRefs>
</ds:datastoreItem>
</file>

<file path=customXml/itemProps2.xml><?xml version="1.0" encoding="utf-8"?>
<ds:datastoreItem xmlns:ds="http://schemas.openxmlformats.org/officeDocument/2006/customXml" ds:itemID="{DE1C3AAD-9F5B-4533-842D-40956B183042}">
  <ds:schemaRefs/>
</ds:datastoreItem>
</file>

<file path=customXml/itemProps3.xml><?xml version="1.0" encoding="utf-8"?>
<ds:datastoreItem xmlns:ds="http://schemas.openxmlformats.org/officeDocument/2006/customXml" ds:itemID="{190D4CBC-E3F4-4566-88F7-647DA674D082}">
  <ds:schemaRefs/>
</ds:datastoreItem>
</file>

<file path=customXml/itemProps4.xml><?xml version="1.0" encoding="utf-8"?>
<ds:datastoreItem xmlns:ds="http://schemas.openxmlformats.org/officeDocument/2006/customXml" ds:itemID="{9BC9ABEF-8FD4-4A5E-B8E9-783CAF41B706}">
  <ds:schemaRefs/>
</ds:datastoreItem>
</file>

<file path=customXml/itemProps5.xml><?xml version="1.0" encoding="utf-8"?>
<ds:datastoreItem xmlns:ds="http://schemas.openxmlformats.org/officeDocument/2006/customXml" ds:itemID="{69B6A1C4-E1C5-450F-B0F2-3FFC34228F72}">
  <ds:schemaRefs/>
</ds:datastoreItem>
</file>

<file path=customXml/itemProps6.xml><?xml version="1.0" encoding="utf-8"?>
<ds:datastoreItem xmlns:ds="http://schemas.openxmlformats.org/officeDocument/2006/customXml" ds:itemID="{1955BEA7-98E4-4547-8EEA-89E5B1EDB6A6}">
  <ds:schemaRefs/>
</ds:datastoreItem>
</file>

<file path=customXml/itemProps7.xml><?xml version="1.0" encoding="utf-8"?>
<ds:datastoreItem xmlns:ds="http://schemas.openxmlformats.org/officeDocument/2006/customXml" ds:itemID="{13DA076C-BCCC-4922-913B-06676F8A72BA}">
  <ds:schemaRefs/>
</ds:datastoreItem>
</file>

<file path=customXml/itemProps8.xml><?xml version="1.0" encoding="utf-8"?>
<ds:datastoreItem xmlns:ds="http://schemas.openxmlformats.org/officeDocument/2006/customXml" ds:itemID="{1D2B4555-01E2-4A4C-B6A8-BB5D44C2FEF7}">
  <ds:schemaRefs/>
</ds:datastoreItem>
</file>

<file path=customXml/itemProps9.xml><?xml version="1.0" encoding="utf-8"?>
<ds:datastoreItem xmlns:ds="http://schemas.openxmlformats.org/officeDocument/2006/customXml" ds:itemID="{41E59AE2-BA92-4EC8-A67C-C67B1E3BF2E2}">
  <ds:schemaRefs/>
</ds:datastoreItem>
</file>

<file path=customXml/itemProps10.xml><?xml version="1.0" encoding="utf-8"?>
<ds:datastoreItem xmlns:ds="http://schemas.openxmlformats.org/officeDocument/2006/customXml" ds:itemID="{F50F9FAD-8C71-4011-8CE2-74C6C6AEBE54}">
  <ds:schemaRefs/>
</ds:datastoreItem>
</file>

<file path=customXml/itemProps11.xml><?xml version="1.0" encoding="utf-8"?>
<ds:datastoreItem xmlns:ds="http://schemas.openxmlformats.org/officeDocument/2006/customXml" ds:itemID="{0CF76D98-745D-45F9-A798-8D312CDD54AB}">
  <ds:schemaRefs/>
</ds:datastoreItem>
</file>

<file path=customXml/itemProps12.xml><?xml version="1.0" encoding="utf-8"?>
<ds:datastoreItem xmlns:ds="http://schemas.openxmlformats.org/officeDocument/2006/customXml" ds:itemID="{7C3C5C2F-7DFE-4B30-8F06-D2CBC8459083}">
  <ds:schemaRefs/>
</ds:datastoreItem>
</file>

<file path=customXml/itemProps13.xml><?xml version="1.0" encoding="utf-8"?>
<ds:datastoreItem xmlns:ds="http://schemas.openxmlformats.org/officeDocument/2006/customXml" ds:itemID="{0FDC138F-D4E9-482B-B00D-CBFDDD854DAD}">
  <ds:schemaRefs/>
</ds:datastoreItem>
</file>

<file path=customXml/itemProps14.xml><?xml version="1.0" encoding="utf-8"?>
<ds:datastoreItem xmlns:ds="http://schemas.openxmlformats.org/officeDocument/2006/customXml" ds:itemID="{24294170-485F-4392-80BB-2CE7DA9071AF}">
  <ds:schemaRefs/>
</ds:datastoreItem>
</file>

<file path=customXml/itemProps15.xml><?xml version="1.0" encoding="utf-8"?>
<ds:datastoreItem xmlns:ds="http://schemas.openxmlformats.org/officeDocument/2006/customXml" ds:itemID="{4BF62B99-398A-45CF-A820-93067351C339}">
  <ds:schemaRefs/>
</ds:datastoreItem>
</file>

<file path=customXml/itemProps16.xml><?xml version="1.0" encoding="utf-8"?>
<ds:datastoreItem xmlns:ds="http://schemas.openxmlformats.org/officeDocument/2006/customXml" ds:itemID="{B8C46A40-BEF4-415C-A42A-94C1018E26B5}">
  <ds:schemaRefs/>
</ds:datastoreItem>
</file>

<file path=customXml/itemProps17.xml><?xml version="1.0" encoding="utf-8"?>
<ds:datastoreItem xmlns:ds="http://schemas.openxmlformats.org/officeDocument/2006/customXml" ds:itemID="{BCFB5C2E-CF00-4955-A3D1-C126A37F77C8}">
  <ds:schemaRefs/>
</ds:datastoreItem>
</file>

<file path=customXml/itemProps18.xml><?xml version="1.0" encoding="utf-8"?>
<ds:datastoreItem xmlns:ds="http://schemas.openxmlformats.org/officeDocument/2006/customXml" ds:itemID="{3E5EDA02-AB72-4416-A079-423723E861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Avergae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dc:creator>
  <cp:lastModifiedBy>Vishnu .</cp:lastModifiedBy>
  <dcterms:created xsi:type="dcterms:W3CDTF">2026-03-27T15:59:29Z</dcterms:created>
  <dcterms:modified xsi:type="dcterms:W3CDTF">2026-03-27T21:32:21Z</dcterms:modified>
</cp:coreProperties>
</file>